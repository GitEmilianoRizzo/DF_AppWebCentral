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Diario" sheetId="1" state="visible" r:id="rId1"/>
    <sheet name="Productos" sheetId="2" r:id="rIdAdd2"/>
    <sheet name="Promociones" sheetId="3" r:id="rIdAdd3"/>
    <sheet name="Sobreventas" sheetId="4" r:id="rIdAdd4"/>
    <sheet name="Tickets" sheetId="5" r:id="rIdAdd5"/>
    <sheet name="Efemérides" sheetId="6" r:id="rIdAdd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"/>
    <numFmt numFmtId="165" formatCode="0.0%"/>
    <numFmt numFmtId="180" formatCode="$#,##0"/>
    <numFmt numFmtId="181" formatCode="0.0%"/>
    <numFmt numFmtId="182" formatCode="#,##0.0"/>
    <numFmt numFmtId="183" formatCode="0.0"/>
    <numFmt numFmtId="184" formatCode="$#,##0;[Red]-$#,##0"/>
    <numFmt numFmtId="185" formatCode="#,##0;[Red]-#,##0"/>
    <numFmt numFmtId="186" formatCode="dd/mm/yyyy"/>
  </numFmts>
  <fonts count="45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9FA8B0"/>
      <sz val="9"/>
    </font>
    <font>
      <name val="Arial"/>
      <color rgb="FFBDC3C7"/>
      <sz val="10"/>
    </font>
    <font>
      <name val="Arial"/>
      <b val="1"/>
      <color rgb="FFFFFFFF"/>
      <sz val="11"/>
    </font>
    <font>
      <name val="Arial"/>
      <b val="1"/>
      <color rgb="FFFFFFFF"/>
      <sz val="9"/>
    </font>
    <font>
      <name val="Arial"/>
      <b val="1"/>
      <color rgb="FF9FA8B0"/>
      <sz val="9"/>
    </font>
    <font>
      <name val="Arial"/>
      <color rgb="FF1A1A2E"/>
      <sz val="9"/>
    </font>
    <font>
      <name val="Arial"/>
      <color rgb="FF5D6D7E"/>
      <sz val="9"/>
    </font>
    <font>
      <name val="Arial"/>
      <b val="1"/>
      <color rgb="FFFFFFFF"/>
      <sz val="10"/>
    </font>
    <font>
      <name val="Arial"/>
      <b val="1"/>
      <color rgb="FF6C757D"/>
      <sz val="9"/>
    </font>
    <font>
      <name val="Arial"/>
      <b val="1"/>
      <color rgb="FFC0392B"/>
      <sz val="16"/>
    </font>
    <font>
      <name val="Arial"/>
      <b val="1"/>
      <color rgb="FF2E5F8A"/>
      <sz val="16"/>
    </font>
    <font>
      <name val="Arial"/>
      <b val="1"/>
      <color rgb="FF4A7C59"/>
      <sz val="16"/>
    </font>
    <font>
      <name val="Arial"/>
      <b val="1"/>
      <color rgb="FF1F618D"/>
      <sz val="16"/>
    </font>
    <font>
      <b val="1"/>
      <sz val="16"/>
      <color rgb="FFFFFFFF"/>
      <name val="Arial"/>
      <family val="2"/>
    </font>
    <font>
      <sz val="9"/>
      <color rgb="FFD5DBE1"/>
      <name val="Arial"/>
      <family val="2"/>
    </font>
    <font>
      <b val="1"/>
      <sz val="9"/>
      <color rgb="FFFFFFFF"/>
      <name val="Arial"/>
      <family val="2"/>
    </font>
    <font>
      <b val="1"/>
      <sz val="18"/>
      <color rgb="FFFFFFFF"/>
      <name val="Arial"/>
      <family val="2"/>
    </font>
    <font>
      <sz val="8"/>
      <color rgb="FFF2F3F4"/>
      <name val="Arial"/>
      <family val="2"/>
    </font>
    <font>
      <b val="1"/>
      <sz val="8"/>
      <color rgb="FF1E2D3D"/>
      <name val="Arial"/>
      <family val="2"/>
    </font>
    <font>
      <b val="1"/>
      <sz val="10"/>
      <color rgb="FF1E2D3D"/>
      <name val="Arial"/>
      <family val="2"/>
    </font>
    <font>
      <b val="1"/>
      <sz val="10"/>
      <color rgb="FFFFFFFF"/>
      <name val="Arial"/>
      <family val="2"/>
    </font>
    <font>
      <b val="1"/>
      <sz val="9"/>
      <color rgb="FF1E2D3D"/>
      <name val="Arial"/>
      <family val="2"/>
    </font>
    <font>
      <sz val="9"/>
      <color rgb="FF1A1A2E"/>
      <name val="Arial"/>
      <family val="2"/>
    </font>
    <font>
      <b val="1"/>
      <sz val="9"/>
      <color rgb="FF1A1A2E"/>
      <name val="Arial"/>
      <family val="2"/>
    </font>
    <font>
      <b val="1"/>
      <sz val="9"/>
      <color rgb="FF1F618D"/>
      <name val="Arial"/>
      <family val="2"/>
    </font>
    <font>
      <sz val="9"/>
      <color rgb="FF7F8C8D"/>
      <name val="Arial"/>
      <family val="2"/>
    </font>
    <font>
      <b val="1"/>
      <sz val="9"/>
      <color rgb="FFC0392B"/>
      <name val="Arial"/>
      <family val="2"/>
    </font>
    <font>
      <sz val="9"/>
      <color rgb="FFFFFFFF"/>
      <name val="Arial"/>
      <family val="2"/>
    </font>
    <font>
      <i val="1"/>
      <sz val="8"/>
      <color rgb="FF5D6D7E"/>
      <name val="Arial"/>
      <family val="2"/>
    </font>
    <font>
      <b val="1"/>
      <sz val="10"/>
      <color rgb="FF1F3A93"/>
      <name val="Arial"/>
      <family val="2"/>
    </font>
    <font>
      <b val="1"/>
      <sz val="9"/>
      <color rgb="FF4A7C59"/>
      <name val="Arial"/>
      <family val="2"/>
    </font>
    <font>
      <sz val="9"/>
      <color rgb="FF95A5A6"/>
      <name val="Arial"/>
      <family val="2"/>
    </font>
    <font>
      <b val="1"/>
      <sz val="9"/>
      <color rgb="FF2E4053"/>
      <name val="Arial"/>
      <family val="2"/>
    </font>
    <font>
      <b val="1"/>
      <sz val="9"/>
      <color rgb="FF784212"/>
      <name val="Arial"/>
      <family val="2"/>
    </font>
    <font>
      <sz val="9"/>
      <color rgb="FFA6ACAF"/>
      <name val="Arial"/>
      <family val="2"/>
    </font>
    <font>
      <b val="1"/>
      <sz val="9"/>
      <color rgb="FFA6ACAF"/>
      <name val="Arial"/>
      <family val="2"/>
    </font>
    <font>
      <b val="1"/>
      <sz val="28"/>
      <color rgb="FF7D3C98"/>
      <name val="Arial"/>
      <family val="2"/>
    </font>
    <font>
      <sz val="9"/>
      <color rgb="FF5D6D7E"/>
      <name val="Arial"/>
      <family val="2"/>
    </font>
    <font>
      <b val="1"/>
      <sz val="12"/>
      <color rgb="FF7D3C98"/>
      <name val="Arial"/>
      <family val="2"/>
    </font>
    <font>
      <sz val="9"/>
      <color rgb="FFC0392B"/>
      <name val="Arial"/>
      <family val="2"/>
    </font>
    <font>
      <b val="1"/>
      <sz val="9"/>
      <color rgb="FF1F3A93"/>
      <name val="Arial"/>
      <family val="2"/>
    </font>
    <font>
      <b val="1"/>
      <sz val="9"/>
      <color rgb="FF1E8449"/>
      <name val="Arial"/>
      <family val="2"/>
    </font>
    <font>
      <b val="1"/>
      <sz val="9"/>
      <color rgb="FFB9770E"/>
      <name val="Arial"/>
      <family val="2"/>
    </font>
  </fonts>
  <fills count="59">
    <fill>
      <patternFill/>
    </fill>
    <fill>
      <patternFill patternType="gray125"/>
    </fill>
    <fill>
      <patternFill patternType="solid">
        <fgColor rgb="FF1E2D3D"/>
      </patternFill>
    </fill>
    <fill>
      <patternFill patternType="solid">
        <fgColor rgb="FFF5F6FA"/>
      </patternFill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F8F9FA"/>
      </patternFill>
    </fill>
    <fill>
      <patternFill patternType="solid">
        <fgColor rgb="FF6B4226"/>
      </patternFill>
    </fill>
    <fill>
      <patternFill patternType="solid">
        <fgColor rgb="FF1A5276"/>
      </patternFill>
    </fill>
    <fill>
      <patternFill patternType="solid">
        <fgColor rgb="FF455A64"/>
      </patternFill>
    </fill>
    <fill>
      <patternFill patternType="solid">
        <fgColor rgb="FF8D5524"/>
      </patternFill>
    </fill>
    <fill>
      <patternFill patternType="solid">
        <fgColor rgb="FF1F618D"/>
      </patternFill>
    </fill>
    <fill>
      <patternFill patternType="solid">
        <fgColor rgb="FF4A7C59"/>
      </patternFill>
    </fill>
    <fill>
      <patternFill patternType="solid">
        <fgColor rgb="FFEBF5EE"/>
      </patternFill>
    </fill>
    <fill>
      <patternFill patternType="solid">
        <fgColor rgb="FFFFF8F0"/>
      </patternFill>
    </fill>
    <fill>
      <patternFill patternType="solid">
        <fgColor rgb="FFEBF5FB"/>
      </patternFill>
    </fill>
    <fill>
      <patternFill patternType="solid">
        <fgColor rgb="FF2E4053"/>
      </patternFill>
    </fill>
    <fill>
      <patternFill patternType="solid">
        <fgColor rgb="FFEAF0FB"/>
      </patternFill>
    </fill>
    <fill>
      <patternFill patternType="solid">
        <fgColor rgb="FF784212"/>
      </patternFill>
    </fill>
    <fill>
      <patternFill patternType="solid">
        <fgColor rgb="FFFEF5E7"/>
      </patternFill>
    </fill>
    <fill>
      <patternFill patternType="solid">
        <fgColor rgb="FF1A252F"/>
      </patternFill>
    </fill>
    <fill>
      <patternFill patternType="solid">
        <fgColor rgb="FF1E2D3D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5F8A"/>
        <bgColor indexed="64"/>
      </patternFill>
    </fill>
    <fill>
      <patternFill patternType="solid">
        <fgColor rgb="FF4A7C59"/>
        <bgColor indexed="64"/>
      </patternFill>
    </fill>
    <fill>
      <patternFill patternType="solid">
        <fgColor rgb="FF6B4226"/>
        <bgColor indexed="64"/>
      </patternFill>
    </fill>
    <fill>
      <patternFill patternType="solid">
        <fgColor rgb="FF1F618D"/>
        <bgColor indexed="64"/>
      </patternFill>
    </fill>
    <fill>
      <patternFill patternType="solid">
        <fgColor rgb="FF8D5524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DDE3EA"/>
        <bgColor indexed="64"/>
      </patternFill>
    </fill>
    <fill>
      <patternFill patternType="solid">
        <fgColor rgb="FFEBF5EE"/>
        <bgColor indexed="64"/>
      </patternFill>
    </fill>
    <fill>
      <patternFill patternType="solid">
        <fgColor rgb="FF2E4053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784212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1A252F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EDED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EBDEF0"/>
        <bgColor indexed="64"/>
      </patternFill>
    </fill>
    <fill>
      <patternFill patternType="solid">
        <fgColor rgb="FFFBF7FC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68910"/>
        <bgColor indexed="64"/>
      </patternFill>
    </fill>
    <fill>
      <patternFill patternType="solid">
        <fgColor rgb="FFFDF2E9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DE2E7"/>
      </bottom>
      <diagonal/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10" fillId="6" borderId="0" applyAlignment="1" pivotButton="0" quotePrefix="0" xfId="0">
      <alignment horizontal="center" vertical="center"/>
    </xf>
    <xf numFmtId="164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164" fontId="13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center" vertical="center"/>
    </xf>
    <xf numFmtId="164" fontId="5" fillId="12" borderId="0" applyAlignment="1" pivotButton="0" quotePrefix="0" xfId="0">
      <alignment horizontal="center" vertical="center"/>
    </xf>
    <xf numFmtId="165" fontId="5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164" fontId="7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165" fontId="7" fillId="14" borderId="0" applyAlignment="1" pivotButton="0" quotePrefix="0" xfId="0">
      <alignment horizontal="center" vertical="center"/>
    </xf>
    <xf numFmtId="165" fontId="7" fillId="13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164" fontId="7" fillId="15" borderId="0" applyAlignment="1" pivotButton="0" quotePrefix="0" xfId="0">
      <alignment horizontal="center" vertical="center"/>
    </xf>
    <xf numFmtId="165" fontId="7" fillId="15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left" vertical="center"/>
    </xf>
    <xf numFmtId="0" fontId="5" fillId="16" borderId="0" applyAlignment="1" pivotButton="0" quotePrefix="0" xfId="0">
      <alignment horizontal="center" vertical="center"/>
    </xf>
    <xf numFmtId="164" fontId="5" fillId="16" borderId="0" applyAlignment="1" pivotButton="0" quotePrefix="0" xfId="0">
      <alignment horizontal="center" vertical="center"/>
    </xf>
    <xf numFmtId="165" fontId="5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8" fillId="17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164" fontId="7" fillId="17" borderId="0" applyAlignment="1" pivotButton="0" quotePrefix="0" xfId="0">
      <alignment horizontal="center" vertical="center"/>
    </xf>
    <xf numFmtId="165" fontId="7" fillId="17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center" vertical="center"/>
    </xf>
    <xf numFmtId="164" fontId="5" fillId="18" borderId="0" applyAlignment="1" pivotButton="0" quotePrefix="0" xfId="0">
      <alignment horizontal="center" vertical="center"/>
    </xf>
    <xf numFmtId="165" fontId="5" fillId="18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left" vertical="center"/>
    </xf>
    <xf numFmtId="0" fontId="8" fillId="19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center" vertical="center"/>
    </xf>
    <xf numFmtId="164" fontId="7" fillId="19" borderId="0" applyAlignment="1" pivotButton="0" quotePrefix="0" xfId="0">
      <alignment horizontal="center" vertical="center"/>
    </xf>
    <xf numFmtId="165" fontId="7" fillId="19" borderId="0" applyAlignment="1" pivotButton="0" quotePrefix="0" xfId="0">
      <alignment horizontal="center" vertical="center"/>
    </xf>
    <xf numFmtId="0" fontId="9" fillId="20" borderId="0" applyAlignment="1" pivotButton="0" quotePrefix="0" xfId="0">
      <alignment horizontal="left" vertical="center"/>
    </xf>
    <xf numFmtId="0" fontId="9" fillId="20" borderId="0" applyAlignment="1" pivotButton="0" quotePrefix="0" xfId="0">
      <alignment horizontal="center" vertical="center"/>
    </xf>
    <xf numFmtId="164" fontId="9" fillId="20" borderId="0" applyAlignment="1" pivotButton="0" quotePrefix="0" xfId="0">
      <alignment horizontal="center" vertical="center"/>
    </xf>
    <xf numFmtId="165" fontId="9" fillId="20" borderId="0" applyAlignment="1" pivotButton="0" quotePrefix="0" xfId="0">
      <alignment horizontal="center" vertical="center"/>
    </xf>
    <xf numFmtId="0" fontId="15" fillId="21" borderId="0" xfId="0" applyNumberFormat="1" applyFont="1" applyFill="1" applyBorder="1" applyAlignment="1">
      <alignment horizontal="left" vertical="center" indent="1"/>
    </xf>
    <xf numFmtId="0" fontId="16" fillId="22" borderId="0" xfId="0" applyNumberFormat="1" applyFont="1" applyFill="1" applyBorder="1" applyAlignment="1">
      <alignment horizontal="left" vertical="center" indent="1"/>
    </xf>
    <xf numFmtId="0" fontId="17" fillId="23" borderId="1" xfId="0" applyNumberFormat="1" applyFont="1" applyFill="1" applyBorder="1" applyAlignment="1">
      <alignment horizontal="center" vertical="center"/>
    </xf>
    <xf numFmtId="180" fontId="18" fillId="23" borderId="1" xfId="0" applyNumberFormat="1" applyFont="1" applyFill="1" applyBorder="1" applyAlignment="1">
      <alignment horizontal="center" vertical="center"/>
    </xf>
    <xf numFmtId="0" fontId="19" fillId="23" borderId="1" xfId="0" applyNumberFormat="1" applyFont="1" applyFill="1" applyBorder="1" applyAlignment="1">
      <alignment horizontal="center" vertical="center"/>
    </xf>
    <xf numFmtId="0" fontId="17" fillId="24" borderId="1" xfId="0" applyNumberFormat="1" applyFont="1" applyFill="1" applyBorder="1" applyAlignment="1">
      <alignment horizontal="center" vertical="center"/>
    </xf>
    <xf numFmtId="3" fontId="18" fillId="24" borderId="1" xfId="0" applyNumberFormat="1" applyFont="1" applyFill="1" applyBorder="1" applyAlignment="1">
      <alignment horizontal="center" vertical="center"/>
    </xf>
    <xf numFmtId="0" fontId="19" fillId="24" borderId="1" xfId="0" applyNumberFormat="1" applyFont="1" applyFill="1" applyBorder="1" applyAlignment="1">
      <alignment horizontal="center" vertical="center"/>
    </xf>
    <xf numFmtId="0" fontId="17" fillId="25" borderId="1" xfId="0" applyNumberFormat="1" applyFont="1" applyFill="1" applyBorder="1" applyAlignment="1">
      <alignment horizontal="center" vertical="center"/>
    </xf>
    <xf numFmtId="180" fontId="18" fillId="25" borderId="1" xfId="0" applyNumberFormat="1" applyFont="1" applyFill="1" applyBorder="1" applyAlignment="1">
      <alignment horizontal="center" vertical="center"/>
    </xf>
    <xf numFmtId="0" fontId="19" fillId="25" borderId="1" xfId="0" applyNumberFormat="1" applyFont="1" applyFill="1" applyBorder="1" applyAlignment="1">
      <alignment horizontal="center" vertical="center"/>
    </xf>
    <xf numFmtId="0" fontId="17" fillId="26" borderId="1" xfId="0" applyNumberFormat="1" applyFont="1" applyFill="1" applyBorder="1" applyAlignment="1">
      <alignment horizontal="center" vertical="center"/>
    </xf>
    <xf numFmtId="181" fontId="18" fillId="26" borderId="1" xfId="0" applyNumberFormat="1" applyFont="1" applyFill="1" applyBorder="1" applyAlignment="1">
      <alignment horizontal="center" vertical="center"/>
    </xf>
    <xf numFmtId="0" fontId="19" fillId="26" borderId="1" xfId="0" applyNumberFormat="1" applyFont="1" applyFill="1" applyBorder="1" applyAlignment="1">
      <alignment horizontal="center" vertical="center"/>
    </xf>
    <xf numFmtId="0" fontId="17" fillId="27" borderId="1" xfId="0" applyNumberFormat="1" applyFont="1" applyFill="1" applyBorder="1" applyAlignment="1">
      <alignment horizontal="center" vertical="center"/>
    </xf>
    <xf numFmtId="181" fontId="18" fillId="27" borderId="1" xfId="0" applyNumberFormat="1" applyFont="1" applyFill="1" applyBorder="1" applyAlignment="1">
      <alignment horizontal="center" vertical="center"/>
    </xf>
    <xf numFmtId="0" fontId="19" fillId="27" borderId="1" xfId="0" applyNumberFormat="1" applyFont="1" applyFill="1" applyBorder="1" applyAlignment="1">
      <alignment horizontal="center" vertical="center"/>
    </xf>
    <xf numFmtId="0" fontId="17" fillId="28" borderId="1" xfId="0" applyNumberFormat="1" applyFont="1" applyFill="1" applyBorder="1" applyAlignment="1">
      <alignment horizontal="center" vertical="center"/>
    </xf>
    <xf numFmtId="182" fontId="18" fillId="28" borderId="1" xfId="0" applyNumberFormat="1" applyFont="1" applyFill="1" applyBorder="1" applyAlignment="1">
      <alignment horizontal="center" vertical="center"/>
    </xf>
    <xf numFmtId="0" fontId="19" fillId="28" borderId="1" xfId="0" applyNumberFormat="1" applyFont="1" applyFill="1" applyBorder="1" applyAlignment="1">
      <alignment horizontal="center" vertical="center"/>
    </xf>
    <xf numFmtId="0" fontId="20" fillId="29" borderId="1" xfId="0" applyNumberFormat="1" applyFont="1" applyFill="1" applyBorder="1" applyAlignment="1">
      <alignment horizontal="left" vertical="center" wrapText="1"/>
    </xf>
    <xf numFmtId="180" fontId="21" fillId="29" borderId="1" xfId="0" applyNumberFormat="1" applyFont="1" applyFill="1" applyBorder="1" applyAlignment="1">
      <alignment horizontal="right" vertical="center"/>
    </xf>
    <xf numFmtId="0" fontId="20" fillId="30" borderId="1" xfId="0" applyNumberFormat="1" applyFont="1" applyFill="1" applyBorder="1" applyAlignment="1">
      <alignment horizontal="left" vertical="center" wrapText="1"/>
    </xf>
    <xf numFmtId="3" fontId="21" fillId="30" borderId="1" xfId="0" applyNumberFormat="1" applyFont="1" applyFill="1" applyBorder="1" applyAlignment="1">
      <alignment horizontal="right" vertical="center"/>
    </xf>
    <xf numFmtId="0" fontId="20" fillId="31" borderId="1" xfId="0" applyNumberFormat="1" applyFont="1" applyFill="1" applyBorder="1" applyAlignment="1">
      <alignment horizontal="left" vertical="center" wrapText="1"/>
    </xf>
    <xf numFmtId="181" fontId="21" fillId="31" borderId="1" xfId="0" applyNumberFormat="1" applyFont="1" applyFill="1" applyBorder="1" applyAlignment="1">
      <alignment horizontal="right" vertical="center"/>
    </xf>
    <xf numFmtId="0" fontId="22" fillId="22" borderId="0" xfId="0" applyNumberFormat="1" applyFont="1" applyFill="1" applyBorder="1" applyAlignment="1">
      <alignment horizontal="left" vertical="center" indent="1"/>
    </xf>
    <xf numFmtId="0" fontId="23" fillId="32" borderId="2" xfId="0" applyNumberFormat="1" applyFont="1" applyFill="1" applyBorder="1" applyAlignment="1">
      <alignment horizontal="center" vertical="center" wrapText="1"/>
    </xf>
    <xf numFmtId="0" fontId="22" fillId="25" borderId="2" xfId="0" applyNumberFormat="1" applyFont="1" applyFill="1" applyBorder="1" applyAlignment="1">
      <alignment horizontal="left" vertical="center" indent="1"/>
    </xf>
    <xf numFmtId="180" fontId="24" fillId="33" borderId="2" xfId="0" applyNumberFormat="1" applyFont="1" applyFill="1" applyBorder="1" applyAlignment="1">
      <alignment horizontal="right" vertical="center"/>
    </xf>
    <xf numFmtId="181" fontId="24" fillId="33" borderId="2" xfId="0" applyNumberFormat="1" applyFont="1" applyFill="1" applyBorder="1" applyAlignment="1">
      <alignment horizontal="right" vertical="center"/>
    </xf>
    <xf numFmtId="3" fontId="24" fillId="33" borderId="2" xfId="0" applyNumberFormat="1" applyFont="1" applyFill="1" applyBorder="1" applyAlignment="1">
      <alignment horizontal="right" vertical="center"/>
    </xf>
    <xf numFmtId="182" fontId="24" fillId="33" borderId="2" xfId="0" applyNumberFormat="1" applyFont="1" applyFill="1" applyBorder="1" applyAlignment="1">
      <alignment horizontal="right" vertical="center"/>
    </xf>
    <xf numFmtId="0" fontId="22" fillId="34" borderId="2" xfId="0" applyNumberFormat="1" applyFont="1" applyFill="1" applyBorder="1" applyAlignment="1">
      <alignment horizontal="left" vertical="center" indent="1"/>
    </xf>
    <xf numFmtId="180" fontId="24" fillId="35" borderId="2" xfId="0" applyNumberFormat="1" applyFont="1" applyFill="1" applyBorder="1" applyAlignment="1">
      <alignment horizontal="right" vertical="center"/>
    </xf>
    <xf numFmtId="181" fontId="24" fillId="35" borderId="2" xfId="0" applyNumberFormat="1" applyFont="1" applyFill="1" applyBorder="1" applyAlignment="1">
      <alignment horizontal="right" vertical="center"/>
    </xf>
    <xf numFmtId="3" fontId="24" fillId="35" borderId="2" xfId="0" applyNumberFormat="1" applyFont="1" applyFill="1" applyBorder="1" applyAlignment="1">
      <alignment horizontal="right" vertical="center"/>
    </xf>
    <xf numFmtId="182" fontId="24" fillId="35" borderId="2" xfId="0" applyNumberFormat="1" applyFont="1" applyFill="1" applyBorder="1" applyAlignment="1">
      <alignment horizontal="right" vertical="center"/>
    </xf>
    <xf numFmtId="0" fontId="22" fillId="36" borderId="2" xfId="0" applyNumberFormat="1" applyFont="1" applyFill="1" applyBorder="1" applyAlignment="1">
      <alignment horizontal="left" vertical="center" indent="1"/>
    </xf>
    <xf numFmtId="180" fontId="24" fillId="37" borderId="2" xfId="0" applyNumberFormat="1" applyFont="1" applyFill="1" applyBorder="1" applyAlignment="1">
      <alignment horizontal="right" vertical="center"/>
    </xf>
    <xf numFmtId="181" fontId="24" fillId="37" borderId="2" xfId="0" applyNumberFormat="1" applyFont="1" applyFill="1" applyBorder="1" applyAlignment="1">
      <alignment horizontal="right" vertical="center"/>
    </xf>
    <xf numFmtId="3" fontId="24" fillId="37" borderId="2" xfId="0" applyNumberFormat="1" applyFont="1" applyFill="1" applyBorder="1" applyAlignment="1">
      <alignment horizontal="right" vertical="center"/>
    </xf>
    <xf numFmtId="182" fontId="24" fillId="37" borderId="2" xfId="0" applyNumberFormat="1" applyFont="1" applyFill="1" applyBorder="1" applyAlignment="1">
      <alignment horizontal="right" vertical="center"/>
    </xf>
    <xf numFmtId="0" fontId="22" fillId="38" borderId="2" xfId="0" applyNumberFormat="1" applyFont="1" applyFill="1" applyBorder="1" applyAlignment="1">
      <alignment horizontal="left" vertical="center" indent="1"/>
    </xf>
    <xf numFmtId="180" fontId="17" fillId="38" borderId="2" xfId="0" applyNumberFormat="1" applyFont="1" applyFill="1" applyBorder="1" applyAlignment="1">
      <alignment horizontal="right" vertical="center"/>
    </xf>
    <xf numFmtId="181" fontId="17" fillId="38" borderId="2" xfId="0" applyNumberFormat="1" applyFont="1" applyFill="1" applyBorder="1" applyAlignment="1">
      <alignment horizontal="right" vertical="center"/>
    </xf>
    <xf numFmtId="3" fontId="17" fillId="38" borderId="2" xfId="0" applyNumberFormat="1" applyFont="1" applyFill="1" applyBorder="1" applyAlignment="1">
      <alignment horizontal="right" vertical="center"/>
    </xf>
    <xf numFmtId="182" fontId="17" fillId="38" borderId="2" xfId="0" applyNumberFormat="1" applyFont="1" applyFill="1" applyBorder="1" applyAlignment="1">
      <alignment horizontal="right" vertical="center"/>
    </xf>
    <xf numFmtId="0" fontId="22" fillId="27" borderId="0" xfId="0" applyNumberFormat="1" applyFont="1" applyFill="1" applyBorder="1" applyAlignment="1">
      <alignment horizontal="left" vertical="center" indent="1"/>
    </xf>
    <xf numFmtId="183" fontId="24" fillId="33" borderId="2" xfId="0" applyNumberFormat="1" applyFont="1" applyFill="1" applyBorder="1" applyAlignment="1">
      <alignment horizontal="center" vertical="center"/>
    </xf>
    <xf numFmtId="3" fontId="24" fillId="33" borderId="2" xfId="0" applyNumberFormat="1" applyFont="1" applyFill="1" applyBorder="1" applyAlignment="1">
      <alignment horizontal="center" vertical="center"/>
    </xf>
    <xf numFmtId="0" fontId="24" fillId="33" borderId="2" xfId="0" applyNumberFormat="1" applyFont="1" applyFill="1" applyBorder="1" applyAlignment="1">
      <alignment horizontal="center" vertical="center" wrapText="1"/>
    </xf>
    <xf numFmtId="0" fontId="25" fillId="33" borderId="2" xfId="0" applyNumberFormat="1" applyFont="1" applyFill="1" applyBorder="1" applyAlignment="1">
      <alignment horizontal="left" vertical="center" wrapText="1"/>
    </xf>
    <xf numFmtId="0" fontId="26" fillId="33" borderId="2" xfId="0" applyNumberFormat="1" applyFont="1" applyFill="1" applyBorder="1" applyAlignment="1">
      <alignment horizontal="center" vertical="center"/>
    </xf>
    <xf numFmtId="183" fontId="24" fillId="35" borderId="2" xfId="0" applyNumberFormat="1" applyFont="1" applyFill="1" applyBorder="1" applyAlignment="1">
      <alignment horizontal="center" vertical="center"/>
    </xf>
    <xf numFmtId="3" fontId="24" fillId="35" borderId="2" xfId="0" applyNumberFormat="1" applyFont="1" applyFill="1" applyBorder="1" applyAlignment="1">
      <alignment horizontal="center" vertical="center"/>
    </xf>
    <xf numFmtId="0" fontId="24" fillId="35" borderId="2" xfId="0" applyNumberFormat="1" applyFont="1" applyFill="1" applyBorder="1" applyAlignment="1">
      <alignment horizontal="center" vertical="center" wrapText="1"/>
    </xf>
    <xf numFmtId="0" fontId="25" fillId="35" borderId="2" xfId="0" applyNumberFormat="1" applyFont="1" applyFill="1" applyBorder="1" applyAlignment="1">
      <alignment horizontal="left" vertical="center" wrapText="1"/>
    </xf>
    <xf numFmtId="0" fontId="26" fillId="35" borderId="2" xfId="0" applyNumberFormat="1" applyFont="1" applyFill="1" applyBorder="1" applyAlignment="1">
      <alignment horizontal="center" vertical="center"/>
    </xf>
    <xf numFmtId="183" fontId="24" fillId="37" borderId="2" xfId="0" applyNumberFormat="1" applyFont="1" applyFill="1" applyBorder="1" applyAlignment="1">
      <alignment horizontal="center" vertical="center"/>
    </xf>
    <xf numFmtId="3" fontId="24" fillId="37" borderId="2" xfId="0" applyNumberFormat="1" applyFont="1" applyFill="1" applyBorder="1" applyAlignment="1">
      <alignment horizontal="center" vertical="center"/>
    </xf>
    <xf numFmtId="0" fontId="24" fillId="37" borderId="2" xfId="0" applyNumberFormat="1" applyFont="1" applyFill="1" applyBorder="1" applyAlignment="1">
      <alignment horizontal="center" vertical="center" wrapText="1"/>
    </xf>
    <xf numFmtId="0" fontId="25" fillId="37" borderId="2" xfId="0" applyNumberFormat="1" applyFont="1" applyFill="1" applyBorder="1" applyAlignment="1">
      <alignment horizontal="left" vertical="center" wrapText="1"/>
    </xf>
    <xf numFmtId="0" fontId="26" fillId="37" borderId="2" xfId="0" applyNumberFormat="1" applyFont="1" applyFill="1" applyBorder="1" applyAlignment="1">
      <alignment horizontal="center" vertical="center"/>
    </xf>
    <xf numFmtId="0" fontId="22" fillId="26" borderId="0" xfId="0" applyNumberFormat="1" applyFont="1" applyFill="1" applyBorder="1" applyAlignment="1">
      <alignment horizontal="left" vertical="center" indent="1"/>
    </xf>
    <xf numFmtId="182" fontId="24" fillId="33" borderId="2" xfId="0" applyNumberFormat="1" applyFont="1" applyFill="1" applyBorder="1" applyAlignment="1">
      <alignment horizontal="center" vertical="center"/>
    </xf>
    <xf numFmtId="180" fontId="25" fillId="33" borderId="2" xfId="0" applyNumberFormat="1" applyFont="1" applyFill="1" applyBorder="1" applyAlignment="1">
      <alignment horizontal="right" vertical="center"/>
    </xf>
    <xf numFmtId="0" fontId="24" fillId="33" borderId="2" xfId="0" applyNumberFormat="1" applyFont="1" applyFill="1" applyBorder="1" applyAlignment="1">
      <alignment horizontal="center" vertical="center"/>
    </xf>
    <xf numFmtId="181" fontId="25" fillId="33" borderId="2" xfId="0" applyNumberFormat="1" applyFont="1" applyFill="1" applyBorder="1" applyAlignment="1">
      <alignment horizontal="center" vertical="center"/>
    </xf>
    <xf numFmtId="0" fontId="26" fillId="33" borderId="2" xfId="0" applyNumberFormat="1" applyFont="1" applyFill="1" applyBorder="1" applyAlignment="1">
      <alignment horizontal="center" vertical="center" wrapText="1"/>
    </xf>
    <xf numFmtId="181" fontId="27" fillId="33" borderId="2" xfId="0" applyNumberFormat="1" applyFont="1" applyFill="1" applyBorder="1" applyAlignment="1">
      <alignment horizontal="center" vertical="center"/>
    </xf>
    <xf numFmtId="182" fontId="24" fillId="35" borderId="2" xfId="0" applyNumberFormat="1" applyFont="1" applyFill="1" applyBorder="1" applyAlignment="1">
      <alignment horizontal="center" vertical="center"/>
    </xf>
    <xf numFmtId="180" fontId="25" fillId="35" borderId="2" xfId="0" applyNumberFormat="1" applyFont="1" applyFill="1" applyBorder="1" applyAlignment="1">
      <alignment horizontal="right" vertical="center"/>
    </xf>
    <xf numFmtId="0" fontId="24" fillId="35" borderId="2" xfId="0" applyNumberFormat="1" applyFont="1" applyFill="1" applyBorder="1" applyAlignment="1">
      <alignment horizontal="center" vertical="center"/>
    </xf>
    <xf numFmtId="181" fontId="25" fillId="35" borderId="2" xfId="0" applyNumberFormat="1" applyFont="1" applyFill="1" applyBorder="1" applyAlignment="1">
      <alignment horizontal="center" vertical="center"/>
    </xf>
    <xf numFmtId="0" fontId="26" fillId="35" borderId="2" xfId="0" applyNumberFormat="1" applyFont="1" applyFill="1" applyBorder="1" applyAlignment="1">
      <alignment horizontal="center" vertical="center" wrapText="1"/>
    </xf>
    <xf numFmtId="181" fontId="27" fillId="35" borderId="2" xfId="0" applyNumberFormat="1" applyFont="1" applyFill="1" applyBorder="1" applyAlignment="1">
      <alignment horizontal="center" vertical="center"/>
    </xf>
    <xf numFmtId="182" fontId="24" fillId="37" borderId="2" xfId="0" applyNumberFormat="1" applyFont="1" applyFill="1" applyBorder="1" applyAlignment="1">
      <alignment horizontal="center" vertical="center"/>
    </xf>
    <xf numFmtId="180" fontId="25" fillId="37" borderId="2" xfId="0" applyNumberFormat="1" applyFont="1" applyFill="1" applyBorder="1" applyAlignment="1">
      <alignment horizontal="right" vertical="center"/>
    </xf>
    <xf numFmtId="0" fontId="24" fillId="37" borderId="2" xfId="0" applyNumberFormat="1" applyFont="1" applyFill="1" applyBorder="1" applyAlignment="1">
      <alignment horizontal="center" vertical="center"/>
    </xf>
    <xf numFmtId="181" fontId="25" fillId="37" borderId="2" xfId="0" applyNumberFormat="1" applyFont="1" applyFill="1" applyBorder="1" applyAlignment="1">
      <alignment horizontal="center" vertical="center"/>
    </xf>
    <xf numFmtId="0" fontId="28" fillId="37" borderId="2" xfId="0" applyNumberFormat="1" applyFont="1" applyFill="1" applyBorder="1" applyAlignment="1">
      <alignment horizontal="center" vertical="center" wrapText="1"/>
    </xf>
    <xf numFmtId="181" fontId="27" fillId="37" borderId="2" xfId="0" applyNumberFormat="1" applyFont="1" applyFill="1" applyBorder="1" applyAlignment="1">
      <alignment horizontal="center" vertical="center"/>
    </xf>
    <xf numFmtId="182" fontId="17" fillId="38" borderId="2" xfId="0" applyNumberFormat="1" applyFont="1" applyFill="1" applyBorder="1" applyAlignment="1">
      <alignment horizontal="center" vertical="center"/>
    </xf>
    <xf numFmtId="3" fontId="17" fillId="38" borderId="2" xfId="0" applyNumberFormat="1" applyFont="1" applyFill="1" applyBorder="1" applyAlignment="1">
      <alignment horizontal="center" vertical="center"/>
    </xf>
    <xf numFmtId="0" fontId="17" fillId="38" borderId="2" xfId="0" applyNumberFormat="1" applyFont="1" applyFill="1" applyBorder="1" applyAlignment="1">
      <alignment horizontal="center" vertical="center"/>
    </xf>
    <xf numFmtId="181" fontId="17" fillId="38" borderId="2" xfId="0" applyNumberFormat="1" applyFont="1" applyFill="1" applyBorder="1" applyAlignment="1">
      <alignment horizontal="center" vertical="center"/>
    </xf>
    <xf numFmtId="0" fontId="17" fillId="38" borderId="2" xfId="0" applyNumberFormat="1" applyFont="1" applyFill="1" applyBorder="1" applyAlignment="1">
      <alignment horizontal="center" vertical="center" wrapText="1"/>
    </xf>
    <xf numFmtId="181" fontId="29" fillId="38" borderId="2" xfId="0" applyNumberFormat="1" applyFont="1" applyFill="1" applyBorder="1" applyAlignment="1">
      <alignment horizontal="center" vertical="center"/>
    </xf>
    <xf numFmtId="0" fontId="30" fillId="0" borderId="0" xfId="0" applyNumberFormat="1" applyFont="1" applyFill="1" applyBorder="1" applyAlignment="1">
      <alignment horizontal="left" vertical="center" wrapText="1"/>
    </xf>
    <xf numFmtId="0" fontId="17" fillId="22" borderId="0" xfId="0" applyNumberFormat="1" applyFont="1" applyFill="1" applyBorder="1" applyAlignment="1">
      <alignment horizontal="right" vertical="center"/>
    </xf>
    <xf numFmtId="181" fontId="31" fillId="39" borderId="2" xfId="0" applyNumberFormat="1" applyFont="1" applyFill="1" applyBorder="1" applyAlignment="1">
      <alignment horizontal="center" vertical="center"/>
    </xf>
    <xf numFmtId="0" fontId="32" fillId="33" borderId="2" xfId="0" applyNumberFormat="1" applyFont="1" applyFill="1" applyBorder="1" applyAlignment="1">
      <alignment horizontal="left" vertical="center" indent="1"/>
    </xf>
    <xf numFmtId="0" fontId="24" fillId="33" borderId="2" xfId="0" applyNumberFormat="1" applyFont="1" applyFill="1" applyBorder="1" applyAlignment="1">
      <alignment horizontal="left" vertical="center"/>
    </xf>
    <xf numFmtId="183" fontId="24" fillId="33" borderId="2" xfId="0" applyNumberFormat="1" applyFont="1" applyFill="1" applyBorder="1" applyAlignment="1">
      <alignment horizontal="right" vertical="center"/>
    </xf>
    <xf numFmtId="181" fontId="33" fillId="33" borderId="2" xfId="0" applyNumberFormat="1" applyFont="1" applyFill="1" applyBorder="1" applyAlignment="1">
      <alignment horizontal="right" vertical="center"/>
    </xf>
    <xf numFmtId="0" fontId="25" fillId="33" borderId="2" xfId="0" applyNumberFormat="1" applyFont="1" applyFill="1" applyBorder="1" applyAlignment="1">
      <alignment horizontal="left" vertical="center"/>
    </xf>
    <xf numFmtId="0" fontId="34" fillId="35" borderId="2" xfId="0" applyNumberFormat="1" applyFont="1" applyFill="1" applyBorder="1" applyAlignment="1">
      <alignment horizontal="left" vertical="center" indent="1"/>
    </xf>
    <xf numFmtId="0" fontId="24" fillId="35" borderId="2" xfId="0" applyNumberFormat="1" applyFont="1" applyFill="1" applyBorder="1" applyAlignment="1">
      <alignment horizontal="left" vertical="center"/>
    </xf>
    <xf numFmtId="183" fontId="24" fillId="35" borderId="2" xfId="0" applyNumberFormat="1" applyFont="1" applyFill="1" applyBorder="1" applyAlignment="1">
      <alignment horizontal="right" vertical="center"/>
    </xf>
    <xf numFmtId="181" fontId="33" fillId="35" borderId="2" xfId="0" applyNumberFormat="1" applyFont="1" applyFill="1" applyBorder="1" applyAlignment="1">
      <alignment horizontal="right" vertical="center"/>
    </xf>
    <xf numFmtId="0" fontId="25" fillId="35" borderId="2" xfId="0" applyNumberFormat="1" applyFont="1" applyFill="1" applyBorder="1" applyAlignment="1">
      <alignment horizontal="left" vertical="center"/>
    </xf>
    <xf numFmtId="0" fontId="35" fillId="37" borderId="2" xfId="0" applyNumberFormat="1" applyFont="1" applyFill="1" applyBorder="1" applyAlignment="1">
      <alignment horizontal="left" vertical="center" indent="1"/>
    </xf>
    <xf numFmtId="0" fontId="24" fillId="37" borderId="2" xfId="0" applyNumberFormat="1" applyFont="1" applyFill="1" applyBorder="1" applyAlignment="1">
      <alignment horizontal="left" vertical="center"/>
    </xf>
    <xf numFmtId="183" fontId="24" fillId="37" borderId="2" xfId="0" applyNumberFormat="1" applyFont="1" applyFill="1" applyBorder="1" applyAlignment="1">
      <alignment horizontal="right" vertical="center"/>
    </xf>
    <xf numFmtId="181" fontId="33" fillId="37" borderId="2" xfId="0" applyNumberFormat="1" applyFont="1" applyFill="1" applyBorder="1" applyAlignment="1">
      <alignment horizontal="right" vertical="center"/>
    </xf>
    <xf numFmtId="0" fontId="25" fillId="37" borderId="2" xfId="0" applyNumberFormat="1" applyFont="1" applyFill="1" applyBorder="1" applyAlignment="1">
      <alignment horizontal="left" vertical="center"/>
    </xf>
    <xf numFmtId="0" fontId="17" fillId="21" borderId="2" xfId="0" applyNumberFormat="1" applyFont="1" applyFill="1" applyBorder="1" applyAlignment="1">
      <alignment horizontal="center" vertical="center" wrapText="1"/>
    </xf>
    <xf numFmtId="0" fontId="17" fillId="38" borderId="2" xfId="0" applyNumberFormat="1" applyFont="1" applyFill="1" applyBorder="1" applyAlignment="1">
      <alignment horizontal="left" vertical="center" indent="1"/>
    </xf>
    <xf numFmtId="0" fontId="24" fillId="38" borderId="2" xfId="0" applyNumberFormat="1" applyFont="1" applyFill="1" applyBorder="1" applyAlignment="1">
      <alignment horizontal="left" vertical="center"/>
    </xf>
    <xf numFmtId="0" fontId="22" fillId="21" borderId="0" xfId="0" applyNumberFormat="1" applyFont="1" applyFill="1" applyBorder="1" applyAlignment="1">
      <alignment horizontal="left" vertical="center" indent="1"/>
    </xf>
    <xf numFmtId="0" fontId="17" fillId="25" borderId="2" xfId="0" applyNumberFormat="1" applyFont="1" applyFill="1" applyBorder="1" applyAlignment="1">
      <alignment horizontal="center" vertical="center" wrapText="1"/>
    </xf>
    <xf numFmtId="0" fontId="17" fillId="34" borderId="2" xfId="0" applyNumberFormat="1" applyFont="1" applyFill="1" applyBorder="1" applyAlignment="1">
      <alignment horizontal="center" vertical="center" wrapText="1"/>
    </xf>
    <xf numFmtId="0" fontId="17" fillId="36" borderId="2" xfId="0" applyNumberFormat="1" applyFont="1" applyFill="1" applyBorder="1" applyAlignment="1">
      <alignment horizontal="center" vertical="center" wrapText="1"/>
    </xf>
    <xf numFmtId="0" fontId="25" fillId="40" borderId="2" xfId="0" applyNumberFormat="1" applyFont="1" applyFill="1" applyBorder="1" applyAlignment="1">
      <alignment horizontal="left" vertical="center" indent="1"/>
    </xf>
    <xf numFmtId="3" fontId="24" fillId="40" borderId="2" xfId="0" applyNumberFormat="1" applyFont="1" applyFill="1" applyBorder="1" applyAlignment="1">
      <alignment horizontal="center" vertical="center"/>
    </xf>
    <xf numFmtId="3" fontId="25" fillId="40" borderId="2" xfId="0" applyNumberFormat="1" applyFont="1" applyFill="1" applyBorder="1" applyAlignment="1">
      <alignment horizontal="center" vertical="center"/>
    </xf>
    <xf numFmtId="181" fontId="24" fillId="40" borderId="2" xfId="0" applyNumberFormat="1" applyFont="1" applyFill="1" applyBorder="1" applyAlignment="1">
      <alignment horizontal="center" vertical="center"/>
    </xf>
    <xf numFmtId="0" fontId="25" fillId="41" borderId="2" xfId="0" applyNumberFormat="1" applyFont="1" applyFill="1" applyBorder="1" applyAlignment="1">
      <alignment horizontal="left" vertical="center" indent="1"/>
    </xf>
    <xf numFmtId="3" fontId="24" fillId="41" borderId="2" xfId="0" applyNumberFormat="1" applyFont="1" applyFill="1" applyBorder="1" applyAlignment="1">
      <alignment horizontal="center" vertical="center"/>
    </xf>
    <xf numFmtId="3" fontId="25" fillId="41" borderId="2" xfId="0" applyNumberFormat="1" applyFont="1" applyFill="1" applyBorder="1" applyAlignment="1">
      <alignment horizontal="center" vertical="center"/>
    </xf>
    <xf numFmtId="181" fontId="24" fillId="41" borderId="2" xfId="0" applyNumberFormat="1" applyFont="1" applyFill="1" applyBorder="1" applyAlignment="1">
      <alignment horizontal="center" vertical="center"/>
    </xf>
    <xf numFmtId="0" fontId="22" fillId="25" borderId="0" xfId="0" applyNumberFormat="1" applyFont="1" applyFill="1" applyBorder="1" applyAlignment="1">
      <alignment horizontal="left" vertical="center" indent="1"/>
    </xf>
    <xf numFmtId="180" fontId="24" fillId="40" borderId="2" xfId="0" applyNumberFormat="1" applyFont="1" applyFill="1" applyBorder="1" applyAlignment="1">
      <alignment horizontal="right" vertical="center"/>
    </xf>
    <xf numFmtId="0" fontId="25" fillId="33" borderId="2" xfId="0" applyNumberFormat="1" applyFont="1" applyFill="1" applyBorder="1" applyAlignment="1">
      <alignment horizontal="left" vertical="center" indent="1"/>
    </xf>
    <xf numFmtId="181" fontId="24" fillId="33" borderId="2" xfId="0" applyNumberFormat="1" applyFont="1" applyFill="1" applyBorder="1" applyAlignment="1">
      <alignment horizontal="center" vertical="center"/>
    </xf>
    <xf numFmtId="0" fontId="22" fillId="34" borderId="0" xfId="0" applyNumberFormat="1" applyFont="1" applyFill="1" applyBorder="1" applyAlignment="1">
      <alignment horizontal="left" vertical="center" indent="1"/>
    </xf>
    <xf numFmtId="0" fontId="25" fillId="35" borderId="2" xfId="0" applyNumberFormat="1" applyFont="1" applyFill="1" applyBorder="1" applyAlignment="1">
      <alignment horizontal="left" vertical="center" indent="1"/>
    </xf>
    <xf numFmtId="181" fontId="24" fillId="35" borderId="2" xfId="0" applyNumberFormat="1" applyFont="1" applyFill="1" applyBorder="1" applyAlignment="1">
      <alignment horizontal="center" vertical="center"/>
    </xf>
    <xf numFmtId="0" fontId="22" fillId="36" borderId="0" xfId="0" applyNumberFormat="1" applyFont="1" applyFill="1" applyBorder="1" applyAlignment="1">
      <alignment horizontal="left" vertical="center" indent="1"/>
    </xf>
    <xf numFmtId="0" fontId="25" fillId="37" borderId="2" xfId="0" applyNumberFormat="1" applyFont="1" applyFill="1" applyBorder="1" applyAlignment="1">
      <alignment horizontal="left" vertical="center" indent="1"/>
    </xf>
    <xf numFmtId="181" fontId="24" fillId="37" borderId="2" xfId="0" applyNumberFormat="1" applyFont="1" applyFill="1" applyBorder="1" applyAlignment="1">
      <alignment horizontal="center" vertical="center"/>
    </xf>
    <xf numFmtId="0" fontId="17" fillId="27" borderId="2" xfId="0" applyNumberFormat="1" applyFont="1" applyFill="1" applyBorder="1" applyAlignment="1">
      <alignment horizontal="center" vertical="center" wrapText="1"/>
    </xf>
    <xf numFmtId="0" fontId="25" fillId="40" borderId="2" xfId="0" applyNumberFormat="1" applyFont="1" applyFill="1" applyBorder="1" applyAlignment="1">
      <alignment horizontal="left" vertical="center"/>
    </xf>
    <xf numFmtId="0" fontId="25" fillId="42" borderId="2" xfId="0" applyNumberFormat="1" applyFont="1" applyFill="1" applyBorder="1" applyAlignment="1">
      <alignment horizontal="left" vertical="center"/>
    </xf>
    <xf numFmtId="3" fontId="24" fillId="42" borderId="2" xfId="0" applyNumberFormat="1" applyFont="1" applyFill="1" applyBorder="1" applyAlignment="1">
      <alignment horizontal="center" vertical="center"/>
    </xf>
    <xf numFmtId="3" fontId="25" fillId="42" borderId="2" xfId="0" applyNumberFormat="1" applyFont="1" applyFill="1" applyBorder="1" applyAlignment="1">
      <alignment horizontal="center" vertical="center"/>
    </xf>
    <xf numFmtId="0" fontId="17" fillId="26" borderId="2" xfId="0" applyNumberFormat="1" applyFont="1" applyFill="1" applyBorder="1" applyAlignment="1">
      <alignment horizontal="center" vertical="center" wrapText="1"/>
    </xf>
    <xf numFmtId="0" fontId="17" fillId="25" borderId="2" xfId="0" applyNumberFormat="1" applyFont="1" applyFill="1" applyBorder="1" applyAlignment="1">
      <alignment horizontal="left" vertical="center" indent="1"/>
    </xf>
    <xf numFmtId="181" fontId="33" fillId="33" borderId="2" xfId="0" applyNumberFormat="1" applyFont="1" applyFill="1" applyBorder="1" applyAlignment="1">
      <alignment horizontal="center" vertical="center"/>
    </xf>
    <xf numFmtId="0" fontId="17" fillId="34" borderId="2" xfId="0" applyNumberFormat="1" applyFont="1" applyFill="1" applyBorder="1" applyAlignment="1">
      <alignment horizontal="left" vertical="center" indent="1"/>
    </xf>
    <xf numFmtId="181" fontId="33" fillId="35" borderId="2" xfId="0" applyNumberFormat="1" applyFont="1" applyFill="1" applyBorder="1" applyAlignment="1">
      <alignment horizontal="center" vertical="center"/>
    </xf>
    <xf numFmtId="0" fontId="17" fillId="36" borderId="2" xfId="0" applyNumberFormat="1" applyFont="1" applyFill="1" applyBorder="1" applyAlignment="1">
      <alignment horizontal="left" vertical="center" indent="1"/>
    </xf>
    <xf numFmtId="181" fontId="33" fillId="37" borderId="2" xfId="0" applyNumberFormat="1" applyFont="1" applyFill="1" applyBorder="1" applyAlignment="1">
      <alignment horizontal="center" vertical="center"/>
    </xf>
    <xf numFmtId="3" fontId="24" fillId="0" borderId="3" xfId="0" applyNumberFormat="1" applyFont="1" applyFill="1" applyBorder="1" applyAlignment="1">
      <alignment horizontal="center" vertical="center"/>
    </xf>
    <xf numFmtId="180" fontId="24" fillId="0" borderId="3" xfId="0" applyNumberFormat="1" applyFont="1" applyFill="1" applyBorder="1" applyAlignment="1">
      <alignment horizontal="right" vertical="center"/>
    </xf>
    <xf numFmtId="181" fontId="24" fillId="0" borderId="3" xfId="0" applyNumberFormat="1" applyFont="1" applyFill="1" applyBorder="1" applyAlignment="1">
      <alignment horizontal="center" vertical="center"/>
    </xf>
    <xf numFmtId="0" fontId="17" fillId="23" borderId="2" xfId="0" applyNumberFormat="1" applyFont="1" applyFill="1" applyBorder="1" applyAlignment="1">
      <alignment horizontal="left" vertical="center" indent="1"/>
    </xf>
    <xf numFmtId="0" fontId="17" fillId="27" borderId="2" xfId="0" applyNumberFormat="1" applyFont="1" applyFill="1" applyBorder="1" applyAlignment="1">
      <alignment horizontal="left" vertical="center" indent="1"/>
    </xf>
    <xf numFmtId="0" fontId="22" fillId="43" borderId="0" xfId="0" applyNumberFormat="1" applyFont="1" applyFill="1" applyBorder="1" applyAlignment="1">
      <alignment horizontal="left" vertical="center" indent="1"/>
    </xf>
    <xf numFmtId="0" fontId="17" fillId="43" borderId="2" xfId="0" applyNumberFormat="1" applyFont="1" applyFill="1" applyBorder="1" applyAlignment="1">
      <alignment horizontal="center" vertical="center" wrapText="1"/>
    </xf>
    <xf numFmtId="0" fontId="17" fillId="44" borderId="2" xfId="0" applyNumberFormat="1" applyFont="1" applyFill="1" applyBorder="1" applyAlignment="1">
      <alignment horizontal="center" vertical="center" wrapText="1"/>
    </xf>
    <xf numFmtId="0" fontId="36" fillId="0" borderId="3" xfId="0" applyNumberFormat="1" applyFont="1" applyFill="1" applyBorder="1" applyAlignment="1">
      <alignment horizontal="center" vertical="center"/>
    </xf>
    <xf numFmtId="183" fontId="37" fillId="0" borderId="3" xfId="0" applyNumberFormat="1" applyFont="1" applyFill="1" applyBorder="1" applyAlignment="1">
      <alignment horizontal="center" vertical="center"/>
    </xf>
    <xf numFmtId="183" fontId="36" fillId="0" borderId="3" xfId="0" applyNumberFormat="1" applyFont="1" applyFill="1" applyBorder="1" applyAlignment="1">
      <alignment horizontal="center" vertical="center"/>
    </xf>
    <xf numFmtId="0" fontId="36" fillId="0" borderId="3" xfId="0" applyNumberFormat="1" applyFont="1" applyFill="1" applyBorder="1" applyAlignment="1">
      <alignment horizontal="left" vertical="center"/>
    </xf>
    <xf numFmtId="0" fontId="24" fillId="0" borderId="3" xfId="0" applyNumberFormat="1" applyFont="1" applyFill="1" applyBorder="1" applyAlignment="1">
      <alignment horizontal="left" vertical="center"/>
    </xf>
    <xf numFmtId="183" fontId="27" fillId="0" borderId="3" xfId="0" applyNumberFormat="1" applyFont="1" applyFill="1" applyBorder="1" applyAlignment="1">
      <alignment horizontal="center" vertical="center"/>
    </xf>
    <xf numFmtId="0" fontId="25" fillId="0" borderId="3" xfId="0" applyNumberFormat="1" applyFont="1" applyFill="1" applyBorder="1" applyAlignment="1">
      <alignment horizontal="center" vertical="center"/>
    </xf>
    <xf numFmtId="183" fontId="25" fillId="0" borderId="3" xfId="0" applyNumberFormat="1" applyFont="1" applyFill="1" applyBorder="1" applyAlignment="1">
      <alignment horizontal="center" vertical="center"/>
    </xf>
    <xf numFmtId="183" fontId="24" fillId="0" borderId="3" xfId="0" applyNumberFormat="1" applyFont="1" applyFill="1" applyBorder="1" applyAlignment="1">
      <alignment horizontal="center" vertical="center"/>
    </xf>
    <xf numFmtId="0" fontId="17" fillId="25" borderId="2" xfId="0" applyNumberFormat="1" applyFont="1" applyFill="1" applyBorder="1" applyAlignment="1">
      <alignment horizontal="center" vertical="center"/>
    </xf>
    <xf numFmtId="0" fontId="17" fillId="34" borderId="2" xfId="0" applyNumberFormat="1" applyFont="1" applyFill="1" applyBorder="1" applyAlignment="1">
      <alignment horizontal="center" vertical="center"/>
    </xf>
    <xf numFmtId="0" fontId="17" fillId="36" borderId="2" xfId="0" applyNumberFormat="1" applyFont="1" applyFill="1" applyBorder="1" applyAlignment="1">
      <alignment horizontal="center" vertical="center"/>
    </xf>
    <xf numFmtId="0" fontId="24" fillId="42" borderId="3" xfId="0" applyNumberFormat="1" applyFont="1" applyFill="1" applyBorder="1" applyAlignment="1">
      <alignment horizontal="left" vertical="center" wrapText="1" indent="1"/>
    </xf>
    <xf numFmtId="0" fontId="25" fillId="45" borderId="2" xfId="0" applyNumberFormat="1" applyFont="1" applyFill="1" applyBorder="1" applyAlignment="1">
      <alignment horizontal="left" vertical="center" indent="1"/>
    </xf>
    <xf numFmtId="0" fontId="24" fillId="45" borderId="2" xfId="0" applyNumberFormat="1" applyFont="1" applyFill="1" applyBorder="1" applyAlignment="1">
      <alignment horizontal="center" vertical="center"/>
    </xf>
    <xf numFmtId="0" fontId="25" fillId="45" borderId="2" xfId="0" applyNumberFormat="1" applyFont="1" applyFill="1" applyBorder="1" applyAlignment="1">
      <alignment horizontal="center" vertical="center"/>
    </xf>
    <xf numFmtId="0" fontId="38" fillId="46" borderId="0" xfId="0" applyNumberFormat="1" applyFont="1" applyFill="1" applyBorder="1" applyAlignment="1">
      <alignment horizontal="center" vertical="center"/>
    </xf>
    <xf numFmtId="0" fontId="22" fillId="47" borderId="0" xfId="0" applyNumberFormat="1" applyFont="1" applyFill="1" applyBorder="1" applyAlignment="1">
      <alignment horizontal="left" vertical="center" indent="1"/>
    </xf>
    <xf numFmtId="0" fontId="23" fillId="48" borderId="2" xfId="0" applyNumberFormat="1" applyFont="1" applyFill="1" applyBorder="1" applyAlignment="1">
      <alignment horizontal="left" vertical="center" indent="1"/>
    </xf>
    <xf numFmtId="0" fontId="25" fillId="49" borderId="2" xfId="0" applyNumberFormat="1" applyFont="1" applyFill="1" applyBorder="1" applyAlignment="1">
      <alignment horizontal="left" vertical="center"/>
    </xf>
    <xf numFmtId="186" fontId="25" fillId="49" borderId="2" xfId="0" applyNumberFormat="1" applyFont="1" applyFill="1" applyBorder="1" applyAlignment="1">
      <alignment horizontal="left" vertical="center"/>
    </xf>
    <xf numFmtId="0" fontId="17" fillId="50" borderId="2" xfId="0" applyNumberFormat="1" applyFont="1" applyFill="1" applyBorder="1" applyAlignment="1">
      <alignment horizontal="center" vertical="center"/>
    </xf>
    <xf numFmtId="0" fontId="39" fillId="49" borderId="2" xfId="0" applyNumberFormat="1" applyFont="1" applyFill="1" applyBorder="1" applyAlignment="1">
      <alignment horizontal="left" vertical="center"/>
    </xf>
    <xf numFmtId="0" fontId="17" fillId="51" borderId="2" xfId="0" applyNumberFormat="1" applyFont="1" applyFill="1" applyBorder="1" applyAlignment="1">
      <alignment horizontal="center" vertical="center"/>
    </xf>
    <xf numFmtId="3" fontId="40" fillId="49" borderId="2" xfId="0" applyNumberFormat="1" applyFont="1" applyFill="1" applyBorder="1" applyAlignment="1">
      <alignment horizontal="left" vertical="center"/>
    </xf>
    <xf numFmtId="186" fontId="36" fillId="40" borderId="2" xfId="0" applyNumberFormat="1" applyFont="1" applyFill="1" applyBorder="1" applyAlignment="1">
      <alignment horizontal="center" vertical="center"/>
    </xf>
    <xf numFmtId="0" fontId="36" fillId="40" borderId="2" xfId="0" applyNumberFormat="1" applyFont="1" applyFill="1" applyBorder="1" applyAlignment="1">
      <alignment horizontal="center" vertical="center"/>
    </xf>
    <xf numFmtId="0" fontId="36" fillId="40" borderId="2" xfId="0" applyNumberFormat="1" applyFont="1" applyFill="1" applyBorder="1" applyAlignment="1">
      <alignment horizontal="left" vertical="center"/>
    </xf>
    <xf numFmtId="185" fontId="36" fillId="40" borderId="2" xfId="0" applyNumberFormat="1" applyFont="1" applyFill="1" applyBorder="1" applyAlignment="1">
      <alignment horizontal="center" vertical="center"/>
    </xf>
    <xf numFmtId="0" fontId="41" fillId="40" borderId="2" xfId="0" applyNumberFormat="1" applyFont="1" applyFill="1" applyBorder="1" applyAlignment="1">
      <alignment horizontal="center" vertical="center"/>
    </xf>
    <xf numFmtId="186" fontId="36" fillId="37" borderId="2" xfId="0" applyNumberFormat="1" applyFont="1" applyFill="1" applyBorder="1" applyAlignment="1">
      <alignment horizontal="center" vertical="center"/>
    </xf>
    <xf numFmtId="0" fontId="36" fillId="37" borderId="2" xfId="0" applyNumberFormat="1" applyFont="1" applyFill="1" applyBorder="1" applyAlignment="1">
      <alignment horizontal="center" vertical="center"/>
    </xf>
    <xf numFmtId="0" fontId="36" fillId="37" borderId="2" xfId="0" applyNumberFormat="1" applyFont="1" applyFill="1" applyBorder="1" applyAlignment="1">
      <alignment horizontal="left" vertical="center"/>
    </xf>
    <xf numFmtId="185" fontId="36" fillId="37" borderId="2" xfId="0" applyNumberFormat="1" applyFont="1" applyFill="1" applyBorder="1" applyAlignment="1">
      <alignment horizontal="center" vertical="center"/>
    </xf>
    <xf numFmtId="186" fontId="36" fillId="42" borderId="2" xfId="0" applyNumberFormat="1" applyFont="1" applyFill="1" applyBorder="1" applyAlignment="1">
      <alignment horizontal="center" vertical="center"/>
    </xf>
    <xf numFmtId="0" fontId="36" fillId="42" borderId="2" xfId="0" applyNumberFormat="1" applyFont="1" applyFill="1" applyBorder="1" applyAlignment="1">
      <alignment horizontal="center" vertical="center"/>
    </xf>
    <xf numFmtId="0" fontId="36" fillId="42" borderId="2" xfId="0" applyNumberFormat="1" applyFont="1" applyFill="1" applyBorder="1" applyAlignment="1">
      <alignment horizontal="left" vertical="center"/>
    </xf>
    <xf numFmtId="185" fontId="36" fillId="42" borderId="2" xfId="0" applyNumberFormat="1" applyFont="1" applyFill="1" applyBorder="1" applyAlignment="1">
      <alignment horizontal="center" vertical="center"/>
    </xf>
    <xf numFmtId="0" fontId="41" fillId="42" borderId="2" xfId="0" applyNumberFormat="1" applyFont="1" applyFill="1" applyBorder="1" applyAlignment="1">
      <alignment horizontal="center" vertical="center"/>
    </xf>
    <xf numFmtId="186" fontId="36" fillId="52" borderId="2" xfId="0" applyNumberFormat="1" applyFont="1" applyFill="1" applyBorder="1" applyAlignment="1">
      <alignment horizontal="center" vertical="center"/>
    </xf>
    <xf numFmtId="0" fontId="36" fillId="52" borderId="2" xfId="0" applyNumberFormat="1" applyFont="1" applyFill="1" applyBorder="1" applyAlignment="1">
      <alignment horizontal="center" vertical="center"/>
    </xf>
    <xf numFmtId="0" fontId="36" fillId="52" borderId="2" xfId="0" applyNumberFormat="1" applyFont="1" applyFill="1" applyBorder="1" applyAlignment="1">
      <alignment horizontal="left" vertical="center"/>
    </xf>
    <xf numFmtId="185" fontId="36" fillId="52" borderId="2" xfId="0" applyNumberFormat="1" applyFont="1" applyFill="1" applyBorder="1" applyAlignment="1">
      <alignment horizontal="center" vertical="center"/>
    </xf>
    <xf numFmtId="186" fontId="36" fillId="53" borderId="2" xfId="0" applyNumberFormat="1" applyFont="1" applyFill="1" applyBorder="1" applyAlignment="1">
      <alignment horizontal="center" vertical="center"/>
    </xf>
    <xf numFmtId="0" fontId="36" fillId="53" borderId="2" xfId="0" applyNumberFormat="1" applyFont="1" applyFill="1" applyBorder="1" applyAlignment="1">
      <alignment horizontal="center" vertical="center"/>
    </xf>
    <xf numFmtId="0" fontId="36" fillId="53" borderId="2" xfId="0" applyNumberFormat="1" applyFont="1" applyFill="1" applyBorder="1" applyAlignment="1">
      <alignment horizontal="left" vertical="center"/>
    </xf>
    <xf numFmtId="185" fontId="36" fillId="53" borderId="2" xfId="0" applyNumberFormat="1" applyFont="1" applyFill="1" applyBorder="1" applyAlignment="1">
      <alignment horizontal="center" vertical="center"/>
    </xf>
    <xf numFmtId="0" fontId="41" fillId="53" borderId="2" xfId="0" applyNumberFormat="1" applyFont="1" applyFill="1" applyBorder="1" applyAlignment="1">
      <alignment horizontal="center" vertical="center"/>
    </xf>
    <xf numFmtId="186" fontId="36" fillId="54" borderId="2" xfId="0" applyNumberFormat="1" applyFont="1" applyFill="1" applyBorder="1" applyAlignment="1">
      <alignment horizontal="center" vertical="center"/>
    </xf>
    <xf numFmtId="0" fontId="36" fillId="54" borderId="2" xfId="0" applyNumberFormat="1" applyFont="1" applyFill="1" applyBorder="1" applyAlignment="1">
      <alignment horizontal="center" vertical="center"/>
    </xf>
    <xf numFmtId="0" fontId="36" fillId="54" borderId="2" xfId="0" applyNumberFormat="1" applyFont="1" applyFill="1" applyBorder="1" applyAlignment="1">
      <alignment horizontal="left" vertical="center"/>
    </xf>
    <xf numFmtId="185" fontId="36" fillId="54" borderId="2" xfId="0" applyNumberFormat="1" applyFont="1" applyFill="1" applyBorder="1" applyAlignment="1">
      <alignment horizontal="center" vertical="center"/>
    </xf>
    <xf numFmtId="186" fontId="25" fillId="55" borderId="2" xfId="0" applyNumberFormat="1" applyFont="1" applyFill="1" applyBorder="1" applyAlignment="1">
      <alignment horizontal="center" vertical="center"/>
    </xf>
    <xf numFmtId="0" fontId="24" fillId="55" borderId="2" xfId="0" applyNumberFormat="1" applyFont="1" applyFill="1" applyBorder="1" applyAlignment="1">
      <alignment horizontal="center" vertical="center"/>
    </xf>
    <xf numFmtId="0" fontId="25" fillId="55" borderId="2" xfId="0" applyNumberFormat="1" applyFont="1" applyFill="1" applyBorder="1" applyAlignment="1">
      <alignment horizontal="left" vertical="center"/>
    </xf>
    <xf numFmtId="185" fontId="24" fillId="55" borderId="2" xfId="0" applyNumberFormat="1" applyFont="1" applyFill="1" applyBorder="1" applyAlignment="1">
      <alignment horizontal="center" vertical="center"/>
    </xf>
    <xf numFmtId="0" fontId="28" fillId="55" borderId="2" xfId="0" applyNumberFormat="1" applyFont="1" applyFill="1" applyBorder="1" applyAlignment="1">
      <alignment horizontal="center" vertical="center"/>
    </xf>
    <xf numFmtId="186" fontId="25" fillId="52" borderId="2" xfId="0" applyNumberFormat="1" applyFont="1" applyFill="1" applyBorder="1" applyAlignment="1">
      <alignment horizontal="center" vertical="center"/>
    </xf>
    <xf numFmtId="0" fontId="24" fillId="52" borderId="2" xfId="0" applyNumberFormat="1" applyFont="1" applyFill="1" applyBorder="1" applyAlignment="1">
      <alignment horizontal="center" vertical="center"/>
    </xf>
    <xf numFmtId="0" fontId="24" fillId="52" borderId="2" xfId="0" applyNumberFormat="1" applyFont="1" applyFill="1" applyBorder="1" applyAlignment="1">
      <alignment horizontal="left" vertical="center"/>
    </xf>
    <xf numFmtId="185" fontId="24" fillId="52" borderId="2" xfId="0" applyNumberFormat="1" applyFont="1" applyFill="1" applyBorder="1" applyAlignment="1">
      <alignment horizontal="center" vertical="center"/>
    </xf>
    <xf numFmtId="186" fontId="25" fillId="37" borderId="2" xfId="0" applyNumberFormat="1" applyFont="1" applyFill="1" applyBorder="1" applyAlignment="1">
      <alignment horizontal="center" vertical="center"/>
    </xf>
    <xf numFmtId="185" fontId="24" fillId="37" borderId="2" xfId="0" applyNumberFormat="1" applyFont="1" applyFill="1" applyBorder="1" applyAlignment="1">
      <alignment horizontal="center" vertical="center"/>
    </xf>
    <xf numFmtId="186" fontId="25" fillId="46" borderId="2" xfId="0" applyNumberFormat="1" applyFont="1" applyFill="1" applyBorder="1" applyAlignment="1">
      <alignment horizontal="center" vertical="center"/>
    </xf>
    <xf numFmtId="0" fontId="24" fillId="46" borderId="2" xfId="0" applyNumberFormat="1" applyFont="1" applyFill="1" applyBorder="1" applyAlignment="1">
      <alignment horizontal="center" vertical="center"/>
    </xf>
    <xf numFmtId="0" fontId="24" fillId="46" borderId="2" xfId="0" applyNumberFormat="1" applyFont="1" applyFill="1" applyBorder="1" applyAlignment="1">
      <alignment horizontal="left" vertical="center"/>
    </xf>
    <xf numFmtId="185" fontId="24" fillId="46" borderId="2" xfId="0" applyNumberFormat="1" applyFont="1" applyFill="1" applyBorder="1" applyAlignment="1">
      <alignment horizontal="center" vertical="center"/>
    </xf>
    <xf numFmtId="186" fontId="25" fillId="40" borderId="2" xfId="0" applyNumberFormat="1" applyFont="1" applyFill="1" applyBorder="1" applyAlignment="1">
      <alignment horizontal="center" vertical="center"/>
    </xf>
    <xf numFmtId="0" fontId="24" fillId="40" borderId="2" xfId="0" applyNumberFormat="1" applyFont="1" applyFill="1" applyBorder="1" applyAlignment="1">
      <alignment horizontal="center" vertical="center"/>
    </xf>
    <xf numFmtId="0" fontId="24" fillId="40" borderId="2" xfId="0" applyNumberFormat="1" applyFont="1" applyFill="1" applyBorder="1" applyAlignment="1">
      <alignment horizontal="left" vertical="center"/>
    </xf>
    <xf numFmtId="185" fontId="24" fillId="40" borderId="2" xfId="0" applyNumberFormat="1" applyFont="1" applyFill="1" applyBorder="1" applyAlignment="1">
      <alignment horizontal="center" vertical="center"/>
    </xf>
    <xf numFmtId="0" fontId="28" fillId="40" borderId="2" xfId="0" applyNumberFormat="1" applyFont="1" applyFill="1" applyBorder="1" applyAlignment="1">
      <alignment horizontal="center" vertical="center"/>
    </xf>
    <xf numFmtId="186" fontId="25" fillId="42" borderId="2" xfId="0" applyNumberFormat="1" applyFont="1" applyFill="1" applyBorder="1" applyAlignment="1">
      <alignment horizontal="center" vertical="center"/>
    </xf>
    <xf numFmtId="0" fontId="24" fillId="42" borderId="2" xfId="0" applyNumberFormat="1" applyFont="1" applyFill="1" applyBorder="1" applyAlignment="1">
      <alignment horizontal="center" vertical="center"/>
    </xf>
    <xf numFmtId="0" fontId="24" fillId="42" borderId="2" xfId="0" applyNumberFormat="1" applyFont="1" applyFill="1" applyBorder="1" applyAlignment="1">
      <alignment horizontal="left" vertical="center"/>
    </xf>
    <xf numFmtId="185" fontId="24" fillId="42" borderId="2" xfId="0" applyNumberFormat="1" applyFont="1" applyFill="1" applyBorder="1" applyAlignment="1">
      <alignment horizontal="center" vertical="center"/>
    </xf>
    <xf numFmtId="0" fontId="28" fillId="42" borderId="2" xfId="0" applyNumberFormat="1" applyFont="1" applyFill="1" applyBorder="1" applyAlignment="1">
      <alignment horizontal="center" vertical="center"/>
    </xf>
    <xf numFmtId="186" fontId="25" fillId="54" borderId="2" xfId="0" applyNumberFormat="1" applyFont="1" applyFill="1" applyBorder="1" applyAlignment="1">
      <alignment horizontal="center" vertical="center"/>
    </xf>
    <xf numFmtId="0" fontId="24" fillId="54" borderId="2" xfId="0" applyNumberFormat="1" applyFont="1" applyFill="1" applyBorder="1" applyAlignment="1">
      <alignment horizontal="center" vertical="center"/>
    </xf>
    <xf numFmtId="0" fontId="24" fillId="54" borderId="2" xfId="0" applyNumberFormat="1" applyFont="1" applyFill="1" applyBorder="1" applyAlignment="1">
      <alignment horizontal="left" vertical="center"/>
    </xf>
    <xf numFmtId="185" fontId="24" fillId="54" borderId="2" xfId="0" applyNumberFormat="1" applyFont="1" applyFill="1" applyBorder="1" applyAlignment="1">
      <alignment horizontal="center" vertical="center"/>
    </xf>
    <xf numFmtId="183" fontId="25" fillId="33" borderId="2" xfId="0" applyNumberFormat="1" applyFont="1" applyFill="1" applyBorder="1" applyAlignment="1">
      <alignment horizontal="center" vertical="center"/>
    </xf>
    <xf numFmtId="3" fontId="25" fillId="33" borderId="2" xfId="0" applyNumberFormat="1" applyFont="1" applyFill="1" applyBorder="1" applyAlignment="1">
      <alignment horizontal="center" vertical="center"/>
    </xf>
    <xf numFmtId="183" fontId="25" fillId="35" borderId="2" xfId="0" applyNumberFormat="1" applyFont="1" applyFill="1" applyBorder="1" applyAlignment="1">
      <alignment horizontal="center" vertical="center"/>
    </xf>
    <xf numFmtId="3" fontId="25" fillId="35" borderId="2" xfId="0" applyNumberFormat="1" applyFont="1" applyFill="1" applyBorder="1" applyAlignment="1">
      <alignment horizontal="center" vertical="center"/>
    </xf>
    <xf numFmtId="183" fontId="25" fillId="37" borderId="2" xfId="0" applyNumberFormat="1" applyFont="1" applyFill="1" applyBorder="1" applyAlignment="1">
      <alignment horizontal="center" vertical="center"/>
    </xf>
    <xf numFmtId="3" fontId="25" fillId="37" borderId="2" xfId="0" applyNumberFormat="1" applyFont="1" applyFill="1" applyBorder="1" applyAlignment="1">
      <alignment horizontal="center" vertical="center"/>
    </xf>
    <xf numFmtId="0" fontId="28" fillId="56" borderId="2" xfId="0" applyNumberFormat="1" applyFont="1" applyFill="1" applyBorder="1" applyAlignment="1">
      <alignment horizontal="center" vertical="center"/>
    </xf>
    <xf numFmtId="0" fontId="27" fillId="41" borderId="2" xfId="0" applyNumberFormat="1" applyFont="1" applyFill="1" applyBorder="1" applyAlignment="1">
      <alignment horizontal="center" vertical="center"/>
    </xf>
    <xf numFmtId="0" fontId="29" fillId="38" borderId="2" xfId="0" applyNumberFormat="1" applyFont="1" applyFill="1" applyBorder="1" applyAlignment="1">
      <alignment horizontal="left" vertical="center"/>
    </xf>
    <xf numFmtId="0" fontId="22" fillId="23" borderId="0" xfId="0" applyNumberFormat="1" applyFont="1" applyFill="1" applyBorder="1" applyAlignment="1">
      <alignment horizontal="left" vertical="center" indent="1"/>
    </xf>
    <xf numFmtId="181" fontId="42" fillId="39" borderId="2" xfId="0" applyNumberFormat="1" applyFont="1" applyFill="1" applyBorder="1" applyAlignment="1">
      <alignment horizontal="center" vertical="center"/>
    </xf>
    <xf numFmtId="0" fontId="17" fillId="50" borderId="2" xfId="0" applyNumberFormat="1" applyFont="1" applyFill="1" applyBorder="1" applyAlignment="1">
      <alignment horizontal="center" vertical="center" wrapText="1"/>
    </xf>
    <xf numFmtId="0" fontId="17" fillId="23" borderId="2" xfId="0" applyNumberFormat="1" applyFont="1" applyFill="1" applyBorder="1" applyAlignment="1">
      <alignment horizontal="center" vertical="center" wrapText="1"/>
    </xf>
    <xf numFmtId="0" fontId="17" fillId="57" borderId="2" xfId="0" applyNumberFormat="1" applyFont="1" applyFill="1" applyBorder="1" applyAlignment="1">
      <alignment horizontal="center" vertical="center" wrapText="1"/>
    </xf>
    <xf numFmtId="183" fontId="43" fillId="33" borderId="2" xfId="0" applyNumberFormat="1" applyFont="1" applyFill="1" applyBorder="1" applyAlignment="1">
      <alignment horizontal="center" vertical="center"/>
    </xf>
    <xf numFmtId="183" fontId="28" fillId="33" borderId="2" xfId="0" applyNumberFormat="1" applyFont="1" applyFill="1" applyBorder="1" applyAlignment="1">
      <alignment horizontal="center" vertical="center"/>
    </xf>
    <xf numFmtId="183" fontId="44" fillId="33" borderId="2" xfId="0" applyNumberFormat="1" applyFont="1" applyFill="1" applyBorder="1" applyAlignment="1">
      <alignment horizontal="center" vertical="center"/>
    </xf>
    <xf numFmtId="183" fontId="43" fillId="35" borderId="2" xfId="0" applyNumberFormat="1" applyFont="1" applyFill="1" applyBorder="1" applyAlignment="1">
      <alignment horizontal="center" vertical="center"/>
    </xf>
    <xf numFmtId="183" fontId="28" fillId="35" borderId="2" xfId="0" applyNumberFormat="1" applyFont="1" applyFill="1" applyBorder="1" applyAlignment="1">
      <alignment horizontal="center" vertical="center"/>
    </xf>
    <xf numFmtId="183" fontId="44" fillId="35" borderId="2" xfId="0" applyNumberFormat="1" applyFont="1" applyFill="1" applyBorder="1" applyAlignment="1">
      <alignment horizontal="center" vertical="center"/>
    </xf>
    <xf numFmtId="183" fontId="43" fillId="37" borderId="2" xfId="0" applyNumberFormat="1" applyFont="1" applyFill="1" applyBorder="1" applyAlignment="1">
      <alignment horizontal="center" vertical="center"/>
    </xf>
    <xf numFmtId="183" fontId="28" fillId="37" borderId="2" xfId="0" applyNumberFormat="1" applyFont="1" applyFill="1" applyBorder="1" applyAlignment="1">
      <alignment horizontal="center" vertical="center"/>
    </xf>
    <xf numFmtId="183" fontId="44" fillId="37" borderId="2" xfId="0" applyNumberFormat="1" applyFont="1" applyFill="1" applyBorder="1" applyAlignment="1">
      <alignment horizontal="center" vertical="center"/>
    </xf>
    <xf numFmtId="183" fontId="17" fillId="38" borderId="2" xfId="0" applyNumberFormat="1" applyFont="1" applyFill="1" applyBorder="1" applyAlignment="1">
      <alignment horizontal="center" vertical="center"/>
    </xf>
    <xf numFmtId="180" fontId="17" fillId="38" borderId="2" xfId="0" applyNumberFormat="1" applyFont="1" applyFill="1" applyBorder="1" applyAlignment="1">
      <alignment horizontal="center" vertical="center"/>
    </xf>
    <xf numFmtId="0" fontId="22" fillId="28" borderId="0" xfId="0" applyNumberFormat="1" applyFont="1" applyFill="1" applyBorder="1" applyAlignment="1">
      <alignment horizontal="left" vertical="center" indent="1"/>
    </xf>
    <xf numFmtId="3" fontId="43" fillId="33" borderId="2" xfId="0" applyNumberFormat="1" applyFont="1" applyFill="1" applyBorder="1" applyAlignment="1">
      <alignment horizontal="center" vertical="center"/>
    </xf>
    <xf numFmtId="3" fontId="28" fillId="33" borderId="2" xfId="0" applyNumberFormat="1" applyFont="1" applyFill="1" applyBorder="1" applyAlignment="1">
      <alignment horizontal="center" vertical="center"/>
    </xf>
    <xf numFmtId="3" fontId="44" fillId="33" borderId="2" xfId="0" applyNumberFormat="1" applyFont="1" applyFill="1" applyBorder="1" applyAlignment="1">
      <alignment horizontal="center" vertical="center"/>
    </xf>
    <xf numFmtId="3" fontId="43" fillId="35" borderId="2" xfId="0" applyNumberFormat="1" applyFont="1" applyFill="1" applyBorder="1" applyAlignment="1">
      <alignment horizontal="center" vertical="center"/>
    </xf>
    <xf numFmtId="3" fontId="28" fillId="35" borderId="2" xfId="0" applyNumberFormat="1" applyFont="1" applyFill="1" applyBorder="1" applyAlignment="1">
      <alignment horizontal="center" vertical="center"/>
    </xf>
    <xf numFmtId="3" fontId="44" fillId="35" borderId="2" xfId="0" applyNumberFormat="1" applyFont="1" applyFill="1" applyBorder="1" applyAlignment="1">
      <alignment horizontal="center" vertical="center"/>
    </xf>
    <xf numFmtId="3" fontId="43" fillId="37" borderId="2" xfId="0" applyNumberFormat="1" applyFont="1" applyFill="1" applyBorder="1" applyAlignment="1">
      <alignment horizontal="center" vertical="center"/>
    </xf>
    <xf numFmtId="3" fontId="28" fillId="37" borderId="2" xfId="0" applyNumberFormat="1" applyFont="1" applyFill="1" applyBorder="1" applyAlignment="1">
      <alignment horizontal="center" vertical="center"/>
    </xf>
    <xf numFmtId="3" fontId="44" fillId="37" borderId="2" xfId="0" applyNumberFormat="1" applyFont="1" applyFill="1" applyBorder="1" applyAlignment="1">
      <alignment horizontal="center" vertical="center"/>
    </xf>
    <xf numFmtId="0" fontId="25" fillId="58" borderId="2" xfId="0" applyNumberFormat="1" applyFont="1" applyFill="1" applyBorder="1" applyAlignment="1">
      <alignment horizontal="left" vertical="center" indent="1"/>
    </xf>
    <xf numFmtId="3" fontId="24" fillId="58" borderId="2" xfId="0" applyNumberFormat="1" applyFont="1" applyFill="1" applyBorder="1" applyAlignment="1">
      <alignment horizontal="center" vertical="center"/>
    </xf>
    <xf numFmtId="181" fontId="24" fillId="58" borderId="2" xfId="0" applyNumberFormat="1" applyFont="1" applyFill="1" applyBorder="1" applyAlignment="1">
      <alignment horizontal="center" vertical="center"/>
    </xf>
    <xf numFmtId="3" fontId="28" fillId="58" borderId="2" xfId="0" applyNumberFormat="1" applyFont="1" applyFill="1" applyBorder="1" applyAlignment="1">
      <alignment horizontal="center" vertical="center"/>
    </xf>
    <xf numFmtId="3" fontId="44" fillId="58" borderId="2" xfId="0" applyNumberFormat="1" applyFont="1" applyFill="1" applyBorder="1" applyAlignment="1">
      <alignment horizontal="center" vertical="center"/>
    </xf>
    <xf numFmtId="180" fontId="25" fillId="58" borderId="2" xfId="0" applyNumberFormat="1" applyFont="1" applyFill="1" applyBorder="1" applyAlignment="1">
      <alignment horizontal="right" vertical="center"/>
    </xf>
    <xf numFmtId="0" fontId="22" fillId="38" borderId="0" xfId="0" applyNumberFormat="1" applyFont="1" applyFill="1" applyBorder="1" applyAlignment="1">
      <alignment horizontal="left" vertical="center" indent="1"/>
    </xf>
    <xf numFmtId="0" fontId="24" fillId="40" borderId="3" xfId="0" applyNumberFormat="1" applyFont="1" applyFill="1" applyBorder="1" applyAlignment="1">
      <alignment horizontal="left" vertical="center" wrapText="1" indent="1"/>
    </xf>
    <xf numFmtId="0" fontId="24" fillId="52" borderId="3" xfId="0" applyNumberFormat="1" applyFont="1" applyFill="1" applyBorder="1" applyAlignment="1">
      <alignment horizontal="left" vertical="center" wrapText="1" indent="1"/>
    </xf>
    <xf numFmtId="0" fontId="42" fillId="39" borderId="2" xfId="0" applyNumberFormat="1" applyFont="1" applyFill="1" applyBorder="1" applyAlignment="1">
      <alignment horizontal="center" vertical="center"/>
    </xf>
    <xf numFmtId="0" fontId="24" fillId="45" borderId="2" xfId="0" applyNumberFormat="1" applyFont="1" applyFill="1" applyBorder="1" applyAlignment="1">
      <alignment horizontal="left" vertical="center" wrapText="1"/>
    </xf>
    <xf numFmtId="0" fontId="24" fillId="40" borderId="2" xfId="0" applyNumberFormat="1" applyFont="1" applyFill="1" applyBorder="1" applyAlignment="1">
      <alignment horizontal="left" vertical="center" wrapText="1"/>
    </xf>
    <xf numFmtId="0" fontId="25" fillId="42" borderId="2" xfId="0" applyNumberFormat="1" applyFont="1" applyFill="1" applyBorder="1" applyAlignment="1">
      <alignment horizontal="left" vertical="center" wrapText="1" indent="1"/>
    </xf>
    <xf numFmtId="0" fontId="24" fillId="33" borderId="3" xfId="0" applyNumberFormat="1" applyFont="1" applyFill="1" applyBorder="1" applyAlignment="1">
      <alignment horizontal="left" vertical="center" wrapText="1" indent="1"/>
    </xf>
    <xf numFmtId="0" fontId="25" fillId="33" borderId="2" xfId="0" applyNumberFormat="1" applyFont="1" applyFill="1" applyBorder="1" applyAlignment="1">
      <alignment horizontal="left" vertical="center" wrapText="1" indent="1"/>
    </xf>
    <xf numFmtId="0" fontId="27" fillId="33" borderId="2" xfId="0" applyNumberFormat="1" applyFont="1" applyFill="1" applyBorder="1" applyAlignment="1">
      <alignment horizontal="left" vertical="center"/>
    </xf>
    <xf numFmtId="180" fontId="25" fillId="41" borderId="2" xfId="0" applyNumberFormat="1" applyFont="1" applyFill="1" applyBorder="1" applyAlignment="1">
      <alignment horizontal="right" vertical="center"/>
    </xf>
    <xf numFmtId="0" fontId="27" fillId="41" borderId="2" xfId="0" applyNumberFormat="1" applyFont="1" applyFill="1" applyBorder="1" applyAlignment="1">
      <alignment horizontal="left" vertical="center"/>
    </xf>
    <xf numFmtId="180" fontId="17" fillId="25" borderId="2" xfId="0" applyNumberFormat="1" applyFont="1" applyFill="1" applyBorder="1" applyAlignment="1">
      <alignment horizontal="right" vertical="center"/>
    </xf>
    <xf numFmtId="186" fontId="24" fillId="40" borderId="3" xfId="0" applyNumberFormat="1" applyFont="1" applyFill="1" applyBorder="1" applyAlignment="1">
      <alignment horizontal="center" vertical="center"/>
    </xf>
    <xf numFmtId="0" fontId="24" fillId="40" borderId="3" xfId="0" applyNumberFormat="1" applyFont="1" applyFill="1" applyBorder="1" applyAlignment="1">
      <alignment horizontal="center" vertical="center"/>
    </xf>
    <xf numFmtId="183" fontId="24" fillId="40" borderId="3" xfId="0" applyNumberFormat="1" applyFont="1" applyFill="1" applyBorder="1" applyAlignment="1">
      <alignment horizontal="center" vertical="center"/>
    </xf>
    <xf numFmtId="181" fontId="24" fillId="40" borderId="3" xfId="0" applyNumberFormat="1" applyFont="1" applyFill="1" applyBorder="1" applyAlignment="1">
      <alignment horizontal="center" vertical="center"/>
    </xf>
    <xf numFmtId="181" fontId="25" fillId="40" borderId="3" xfId="0" applyNumberFormat="1" applyFont="1" applyFill="1" applyBorder="1" applyAlignment="1">
      <alignment horizontal="center" vertical="center"/>
    </xf>
    <xf numFmtId="182" fontId="24" fillId="40" borderId="3" xfId="0" applyNumberFormat="1" applyFont="1" applyFill="1" applyBorder="1" applyAlignment="1">
      <alignment horizontal="center" vertical="center"/>
    </xf>
    <xf numFmtId="3" fontId="24" fillId="40" borderId="3" xfId="0" applyNumberFormat="1" applyFont="1" applyFill="1" applyBorder="1" applyAlignment="1">
      <alignment horizontal="center" vertical="center"/>
    </xf>
    <xf numFmtId="0" fontId="24" fillId="35" borderId="3" xfId="0" applyNumberFormat="1" applyFont="1" applyFill="1" applyBorder="1" applyAlignment="1">
      <alignment horizontal="left" vertical="center" wrapText="1" indent="1"/>
    </xf>
    <xf numFmtId="0" fontId="25" fillId="35" borderId="2" xfId="0" applyNumberFormat="1" applyFont="1" applyFill="1" applyBorder="1" applyAlignment="1">
      <alignment horizontal="left" vertical="center" wrapText="1" indent="1"/>
    </xf>
    <xf numFmtId="0" fontId="27" fillId="35" borderId="2" xfId="0" applyNumberFormat="1" applyFont="1" applyFill="1" applyBorder="1" applyAlignment="1">
      <alignment horizontal="left" vertical="center"/>
    </xf>
    <xf numFmtId="180" fontId="17" fillId="34" borderId="2" xfId="0" applyNumberFormat="1" applyFont="1" applyFill="1" applyBorder="1" applyAlignment="1">
      <alignment horizontal="right" vertical="center"/>
    </xf>
    <xf numFmtId="0" fontId="24" fillId="37" borderId="3" xfId="0" applyNumberFormat="1" applyFont="1" applyFill="1" applyBorder="1" applyAlignment="1">
      <alignment horizontal="left" vertical="center" wrapText="1" indent="1"/>
    </xf>
    <xf numFmtId="0" fontId="25" fillId="37" borderId="2" xfId="0" applyNumberFormat="1" applyFont="1" applyFill="1" applyBorder="1" applyAlignment="1">
      <alignment horizontal="left" vertical="center" wrapText="1" indent="1"/>
    </xf>
    <xf numFmtId="0" fontId="27" fillId="37" borderId="2" xfId="0" applyNumberFormat="1" applyFont="1" applyFill="1" applyBorder="1" applyAlignment="1">
      <alignment horizontal="left" vertical="center"/>
    </xf>
    <xf numFmtId="180" fontId="17" fillId="36" borderId="2" xfId="0" applyNumberFormat="1" applyFont="1" applyFill="1" applyBorder="1" applyAlignment="1">
      <alignment horizontal="right" vertical="center"/>
    </xf>
    <xf numFmtId="180" fontId="25" fillId="40" borderId="3" xfId="0" applyNumberFormat="1" applyFont="1" applyFill="1" applyBorder="1" applyAlignment="1">
      <alignment horizontal="right" vertical="center"/>
    </xf>
    <xf numFmtId="180" fontId="24" fillId="40" borderId="3" xfId="0" applyNumberFormat="1" applyFont="1" applyFill="1" applyBorder="1" applyAlignment="1">
      <alignment horizontal="right" vertical="center"/>
    </xf>
    <xf numFmtId="186" fontId="25" fillId="55" borderId="3" xfId="0" applyNumberFormat="1" applyFont="1" applyFill="1" applyBorder="1" applyAlignment="1">
      <alignment horizontal="center" vertical="center"/>
    </xf>
    <xf numFmtId="0" fontId="24" fillId="55" borderId="3" xfId="0" applyNumberFormat="1" applyFont="1" applyFill="1" applyBorder="1" applyAlignment="1">
      <alignment horizontal="center" vertical="center"/>
    </xf>
    <xf numFmtId="180" fontId="25" fillId="55" borderId="3" xfId="0" applyNumberFormat="1" applyFont="1" applyFill="1" applyBorder="1" applyAlignment="1">
      <alignment horizontal="right" vertical="center"/>
    </xf>
    <xf numFmtId="180" fontId="24" fillId="55" borderId="3" xfId="0" applyNumberFormat="1" applyFont="1" applyFill="1" applyBorder="1" applyAlignment="1">
      <alignment horizontal="right" vertical="center"/>
    </xf>
    <xf numFmtId="181" fontId="25" fillId="55" borderId="3" xfId="0" applyNumberFormat="1" applyFont="1" applyFill="1" applyBorder="1" applyAlignment="1">
      <alignment horizontal="center" vertical="center"/>
    </xf>
    <xf numFmtId="181" fontId="24" fillId="55" borderId="3" xfId="0" applyNumberFormat="1" applyFont="1" applyFill="1" applyBorder="1" applyAlignment="1">
      <alignment horizontal="center" vertical="center"/>
    </xf>
    <xf numFmtId="183" fontId="24" fillId="55" borderId="3" xfId="0" applyNumberFormat="1" applyFont="1" applyFill="1" applyBorder="1" applyAlignment="1">
      <alignment horizontal="center" vertical="center"/>
    </xf>
    <xf numFmtId="0" fontId="24" fillId="45" borderId="3" xfId="0" applyNumberFormat="1" applyFont="1" applyFill="1" applyBorder="1" applyAlignment="1">
      <alignment horizontal="left" vertical="center" wrapText="1" indent="1"/>
    </xf>
    <xf applyNumberFormat="1" numFmtId="182" fontId="7" fillId="15" borderId="0" applyAlignment="1" pivotButton="0" quotePrefix="0" xfId="0">
      <alignment horizontal="center" vertical="center"/>
    </xf>
    <xf applyNumberFormat="1" numFmtId="183" fontId="7" fillId="13" borderId="0" applyAlignment="1" pivotButton="0" quotePrefix="0" xfId="0">
      <alignment horizontal="center" vertical="center"/>
    </xf>
    <xf applyNumberFormat="1" numFmtId="182" fontId="5" fillId="12" borderId="0" applyAlignment="1" pivotButton="0" quotePrefix="0" xfId="0">
      <alignment horizontal="center" vertical="center"/>
    </xf>
    <xf applyNumberFormat="1" numFmtId="183" fontId="5" fillId="12" borderId="0" applyAlignment="1" pivotButton="0" quotePrefix="0" xfId="0">
      <alignment horizontal="center" vertical="center"/>
    </xf>
    <xf applyNumberFormat="1" numFmtId="183" fontId="7" fillId="17" borderId="0" applyAlignment="1" pivotButton="0" quotePrefix="0" xfId="0">
      <alignment horizontal="center" vertical="center"/>
    </xf>
    <xf applyNumberFormat="1" numFmtId="182" fontId="5" fillId="16" borderId="0" applyAlignment="1" pivotButton="0" quotePrefix="0" xfId="0">
      <alignment horizontal="center" vertical="center"/>
    </xf>
    <xf applyNumberFormat="1" numFmtId="183" fontId="5" fillId="16" borderId="0" applyAlignment="1" pivotButton="0" quotePrefix="0" xfId="0">
      <alignment horizontal="center" vertical="center"/>
    </xf>
    <xf applyNumberFormat="1" numFmtId="183" fontId="7" fillId="19" borderId="0" applyAlignment="1" pivotButton="0" quotePrefix="0" xfId="0">
      <alignment horizontal="center" vertical="center"/>
    </xf>
    <xf applyNumberFormat="1" numFmtId="182" fontId="5" fillId="18" borderId="0" applyAlignment="1" pivotButton="0" quotePrefix="0" xfId="0">
      <alignment horizontal="center" vertical="center"/>
    </xf>
    <xf applyNumberFormat="1" numFmtId="183" fontId="5" fillId="18" borderId="0" applyAlignment="1" pivotButton="0" quotePrefix="0" xfId="0">
      <alignment horizontal="center" vertical="center"/>
    </xf>
    <xf applyNumberFormat="1" numFmtId="182" fontId="9" fillId="20" borderId="0" applyAlignment="1" pivotButton="0" quotePrefix="0" xfId="0">
      <alignment horizontal="center" vertical="center"/>
    </xf>
    <xf applyNumberFormat="1" numFmtId="183" fontId="9" fillId="2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FFFFFFFF"/>
        <sz val="9"/>
      </font>
      <fill>
        <patternFill patternType="solid">
          <fgColor rgb="FFC0392B"/>
          <bgColor rgb="FFC0392B"/>
        </patternFill>
      </fill>
    </dxf>
    <dxf>
      <font>
        <b val="1"/>
        <color rgb="FFFFFFFF"/>
      </font>
      <fill>
        <patternFill patternType="solid">
          <bgColor rgb="FFC0392B"/>
        </patternFill>
      </fill>
    </dxf>
    <dxf>
      <font>
        <b val="1"/>
        <color rgb="FFFFFFFF"/>
      </font>
      <fill>
        <patternFill patternType="solid">
          <bgColor rgb="FF1E844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Add2" Type="http://schemas.openxmlformats.org/officeDocument/2006/relationships/worksheet" Target="/xl/worksheets/sheet2.xml"/><Relationship Id="rIdAdd3" Type="http://schemas.openxmlformats.org/officeDocument/2006/relationships/worksheet" Target="/xl/worksheets/sheet3.xml"/><Relationship Id="rIdAdd4" Type="http://schemas.openxmlformats.org/officeDocument/2006/relationships/worksheet" Target="/xl/worksheets/sheet4.xml"/><Relationship Id="rIdAdd5" Type="http://schemas.openxmlformats.org/officeDocument/2006/relationships/worksheet" Target="/xl/worksheets/sheet5.xml"/><Relationship Id="rIdAdd6" Type="http://schemas.openxmlformats.org/officeDocument/2006/relationships/worksheet" Target="/xl/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s-AR" sz="1200" b="1">
                <a:solidFill>
                  <a:srgbClr val="1E2D3D"/>
                </a:solidFill>
                <a:latin typeface="Arial"/>
              </a:rPr>
              <a:t>Top 10 de las 3 sucursales: cuánto aporta cada una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Fiorito</c:v>
          </c:tx>
          <c:spPr>
            <a:solidFill>
              <a:srgbClr val="4A7C59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Productos!$H$6:$H$15</c:f>
              <c:strCache>
                <c:ptCount val="10"/>
                <c:pt idx="0">
                  <c:v>1 KILO</c:v>
                </c:pt>
                <c:pt idx="1">
                  <c:v>1/4  KILO</c:v>
                </c:pt>
                <c:pt idx="2">
                  <c:v>1/2  KILO</c:v>
                </c:pt>
                <c:pt idx="3">
                  <c:v>FRAMBUESAS DOBLE CHOCOLATE - GRIDO</c:v>
                </c:pt>
                <c:pt idx="4">
                  <c:v>GIGANTE 2 BOCHAS</c:v>
                </c:pt>
                <c:pt idx="5">
                  <c:v>PALITO BOMBÓN X10 UN.</c:v>
                </c:pt>
                <c:pt idx="6">
                  <c:v>BOMBON ESCOCES EN CAJA X 8</c:v>
                </c:pt>
                <c:pt idx="7">
                  <c:v>BOMBON ESCOCES X UNIDAD</c:v>
                </c:pt>
                <c:pt idx="8">
                  <c:v>PALITO FRUTAL FRUTILLA X UNIDAD</c:v>
                </c:pt>
                <c:pt idx="9">
                  <c:v>BOMBON FRUTEZZA XU.</c:v>
                </c:pt>
              </c:strCache>
            </c:strRef>
          </c:cat>
          <c:val>
            <c:numRef>
              <c:f>Productos!$I$6:$I$15</c:f>
              <c:numCache>
                <c:formatCode>#,##0</c:formatCode>
                <c:ptCount val="10"/>
                <c:pt idx="0">
                  <c:v>43</c:v>
                </c:pt>
                <c:pt idx="1">
                  <c:v>40</c:v>
                </c:pt>
                <c:pt idx="2">
                  <c:v>34</c:v>
                </c:pt>
                <c:pt idx="3">
                  <c:v>7</c:v>
                </c:pt>
                <c:pt idx="4">
                  <c:v>9</c:v>
                </c:pt>
                <c:pt idx="5">
                  <c:v>9</c:v>
                </c:pt>
                <c:pt idx="6">
                  <c:v>4</c:v>
                </c:pt>
                <c:pt idx="7">
                  <c:v>5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</c:ser>
        <c:ser>
          <c:idx val="1"/>
          <c:order val="1"/>
          <c:tx>
            <c:v>Escalada</c:v>
          </c:tx>
          <c:spPr>
            <a:solidFill>
              <a:srgbClr val="2E4053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Productos!$H$6:$H$15</c:f>
              <c:strCache>
                <c:ptCount val="10"/>
                <c:pt idx="0">
                  <c:v>1 KILO</c:v>
                </c:pt>
                <c:pt idx="1">
                  <c:v>1/4  KILO</c:v>
                </c:pt>
                <c:pt idx="2">
                  <c:v>1/2  KILO</c:v>
                </c:pt>
                <c:pt idx="3">
                  <c:v>FRAMBUESAS DOBLE CHOCOLATE - GRIDO</c:v>
                </c:pt>
                <c:pt idx="4">
                  <c:v>GIGANTE 2 BOCHAS</c:v>
                </c:pt>
                <c:pt idx="5">
                  <c:v>PALITO BOMBÓN X10 UN.</c:v>
                </c:pt>
                <c:pt idx="6">
                  <c:v>BOMBON ESCOCES EN CAJA X 8</c:v>
                </c:pt>
                <c:pt idx="7">
                  <c:v>BOMBON ESCOCES X UNIDAD</c:v>
                </c:pt>
                <c:pt idx="8">
                  <c:v>PALITO FRUTAL FRUTILLA X UNIDAD</c:v>
                </c:pt>
                <c:pt idx="9">
                  <c:v>BOMBON FRUTEZZA XU.</c:v>
                </c:pt>
              </c:strCache>
            </c:strRef>
          </c:cat>
          <c:val>
            <c:numRef>
              <c:f>Productos!$J$6:$J$15</c:f>
              <c:numCache>
                <c:formatCode>#,##0</c:formatCode>
                <c:ptCount val="10"/>
                <c:pt idx="0">
                  <c:v>23</c:v>
                </c:pt>
                <c:pt idx="1">
                  <c:v>12</c:v>
                </c:pt>
                <c:pt idx="2">
                  <c:v>17</c:v>
                </c:pt>
                <c:pt idx="3">
                  <c:v>11</c:v>
                </c:pt>
                <c:pt idx="4">
                  <c:v>14</c:v>
                </c:pt>
                <c:pt idx="5">
                  <c:v>7</c:v>
                </c:pt>
                <c:pt idx="6">
                  <c:v>10</c:v>
                </c:pt>
                <c:pt idx="7">
                  <c:v>5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2"/>
          <c:order val="2"/>
          <c:tx>
            <c:v>Lanus Oeste</c:v>
          </c:tx>
          <c:spPr>
            <a:solidFill>
              <a:srgbClr val="78421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Productos!$H$6:$H$15</c:f>
              <c:strCache>
                <c:ptCount val="10"/>
                <c:pt idx="0">
                  <c:v>1 KILO</c:v>
                </c:pt>
                <c:pt idx="1">
                  <c:v>1/4  KILO</c:v>
                </c:pt>
                <c:pt idx="2">
                  <c:v>1/2  KILO</c:v>
                </c:pt>
                <c:pt idx="3">
                  <c:v>FRAMBUESAS DOBLE CHOCOLATE - GRIDO</c:v>
                </c:pt>
                <c:pt idx="4">
                  <c:v>GIGANTE 2 BOCHAS</c:v>
                </c:pt>
                <c:pt idx="5">
                  <c:v>PALITO BOMBÓN X10 UN.</c:v>
                </c:pt>
                <c:pt idx="6">
                  <c:v>BOMBON ESCOCES EN CAJA X 8</c:v>
                </c:pt>
                <c:pt idx="7">
                  <c:v>BOMBON ESCOCES X UNIDAD</c:v>
                </c:pt>
                <c:pt idx="8">
                  <c:v>PALITO FRUTAL FRUTILLA X UNIDAD</c:v>
                </c:pt>
                <c:pt idx="9">
                  <c:v>BOMBON FRUTEZZA XU.</c:v>
                </c:pt>
              </c:strCache>
            </c:strRef>
          </c:cat>
          <c:val>
            <c:numRef>
              <c:f>Productos!$K$6:$K$15</c:f>
              <c:numCache>
                <c:formatCode>#,##0</c:formatCode>
                <c:ptCount val="10"/>
                <c:pt idx="0">
                  <c:v>41</c:v>
                </c:pt>
                <c:pt idx="1">
                  <c:v>33</c:v>
                </c:pt>
                <c:pt idx="2">
                  <c:v>21</c:v>
                </c:pt>
                <c:pt idx="3">
                  <c:v>15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12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</c:ser>
        <c:gapWidth val="35"/>
        <c:overlap val="100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CBD2D9"/>
            </a:solidFill>
          </a:ln>
        </c:spPr>
        <c:txPr>
          <a:bodyPr/>
          <a:lstStyle/>
          <a:p>
            <a:pPr>
              <a:defRPr sz="850" b="0">
                <a:solidFill>
                  <a:srgbClr val="4A5568"/>
                </a:solidFill>
                <a:latin typeface="Arial"/>
              </a:defRPr>
            </a:pPr>
            <a:endParaRPr lang="es-A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7F8C8D"/>
                </a:solidFill>
                <a:latin typeface="Arial"/>
              </a:defRPr>
            </a:pPr>
            <a:endParaRPr lang="es-AR"/>
          </a:p>
        </c:txPr>
        <c:crossAx val="5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A5568"/>
              </a:solidFill>
              <a:latin typeface="Arial"/>
            </a:defRPr>
          </a:pPr>
          <a:endParaRPr lang="es-AR"/>
        </a:p>
      </c:txPr>
    </c:legend>
    <c:plotVisOnly val="1"/>
    <c:dispBlanksAs val="gap"/>
  </c:chart>
  <c:spPr>
    <a:solidFill>
      <a:srgbClr val="FFFFFF"/>
    </a:solidFill>
    <a:ln w="9525">
      <a:solidFill>
        <a:srgbClr val="DDE2E7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s-AR" sz="1200" b="1">
                <a:solidFill>
                  <a:srgbClr val="1E2D3D"/>
                </a:solidFill>
                <a:latin typeface="Arial"/>
              </a:rPr>
              <a:t>Top 10 · Fiorito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Cantidad</c:v>
          </c:tx>
          <c:spPr>
            <a:solidFill>
              <a:srgbClr val="4A7C59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2D3748"/>
                    </a:solidFill>
                    <a:latin typeface="Arial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Productos!$H$28:$H$37</c:f>
              <c:strCache>
                <c:ptCount val="10"/>
                <c:pt idx="0">
                  <c:v>1 KILO</c:v>
                </c:pt>
                <c:pt idx="1">
                  <c:v>1/4  KILO</c:v>
                </c:pt>
                <c:pt idx="2">
                  <c:v>1/2  KILO</c:v>
                </c:pt>
                <c:pt idx="3">
                  <c:v>PALITO FRUTAL FRUTILLA X UNIDAD</c:v>
                </c:pt>
                <c:pt idx="4">
                  <c:v>CAPUCCINO GRIDO</c:v>
                </c:pt>
                <c:pt idx="5">
                  <c:v>GIGANTE 2 BOCHAS</c:v>
                </c:pt>
                <c:pt idx="6">
                  <c:v>PALITO BOMBÓN X10 UN.</c:v>
                </c:pt>
                <c:pt idx="7">
                  <c:v>CUPS BLACK X 3</c:v>
                </c:pt>
                <c:pt idx="8">
                  <c:v>PALITO BOMBON DDL X UN.</c:v>
                </c:pt>
                <c:pt idx="9">
                  <c:v>FRAMBUESAS DOBLE CHOCOLATE - GRIDO</c:v>
                </c:pt>
              </c:strCache>
            </c:strRef>
          </c:cat>
          <c:val>
            <c:numRef>
              <c:f>Productos!$I$28:$I$37</c:f>
              <c:numCache>
                <c:formatCode>#,##0</c:formatCode>
                <c:ptCount val="10"/>
                <c:pt idx="0">
                  <c:v>43</c:v>
                </c:pt>
                <c:pt idx="1">
                  <c:v>40</c:v>
                </c:pt>
                <c:pt idx="2">
                  <c:v>34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gapWidth val="35"/>
        <c:overlap val="-5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CBD2D9"/>
            </a:solidFill>
          </a:ln>
        </c:spPr>
        <c:txPr>
          <a:bodyPr/>
          <a:lstStyle/>
          <a:p>
            <a:pPr>
              <a:defRPr sz="850" b="0">
                <a:solidFill>
                  <a:srgbClr val="4A5568"/>
                </a:solidFill>
                <a:latin typeface="Arial"/>
              </a:defRPr>
            </a:pPr>
            <a:endParaRPr lang="es-A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7F8C8D"/>
                </a:solidFill>
                <a:latin typeface="Arial"/>
              </a:defRPr>
            </a:pPr>
            <a:endParaRPr lang="es-AR"/>
          </a:p>
        </c:txPr>
        <c:crossAx val="5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 w="9525">
      <a:solidFill>
        <a:srgbClr val="DDE2E7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s-AR" sz="1200" b="1">
                <a:solidFill>
                  <a:srgbClr val="1E2D3D"/>
                </a:solidFill>
                <a:latin typeface="Arial"/>
              </a:rPr>
              <a:t>Top 10 · Escalada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Cantidad</c:v>
          </c:tx>
          <c:spPr>
            <a:solidFill>
              <a:srgbClr val="2E4053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2D3748"/>
                    </a:solidFill>
                    <a:latin typeface="Arial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Productos!$H$50:$H$59</c:f>
              <c:strCache>
                <c:ptCount val="10"/>
                <c:pt idx="0">
                  <c:v>1 KILO</c:v>
                </c:pt>
                <c:pt idx="1">
                  <c:v>1/2  KILO</c:v>
                </c:pt>
                <c:pt idx="2">
                  <c:v>GIGANTE 2 BOCHAS</c:v>
                </c:pt>
                <c:pt idx="3">
                  <c:v>1/4  KILO</c:v>
                </c:pt>
                <c:pt idx="4">
                  <c:v>FRAMBUESAS DOBLE CHOCOLATE - GRIDO</c:v>
                </c:pt>
                <c:pt idx="5">
                  <c:v>BOMBON ESCOCES EN CAJA X 8</c:v>
                </c:pt>
                <c:pt idx="6">
                  <c:v>TORTA GRIDO RELLENA</c:v>
                </c:pt>
                <c:pt idx="7">
                  <c:v>PALITO BOMBON X UNIDAD</c:v>
                </c:pt>
                <c:pt idx="8">
                  <c:v>BOMBON FRUTEZZA XU.</c:v>
                </c:pt>
                <c:pt idx="9">
                  <c:v>PALITO BOMBÓN X10 UN.</c:v>
                </c:pt>
              </c:strCache>
            </c:strRef>
          </c:cat>
          <c:val>
            <c:numRef>
              <c:f>Productos!$I$50:$I$59</c:f>
              <c:numCache>
                <c:formatCode>#,##0</c:formatCode>
                <c:ptCount val="10"/>
                <c:pt idx="0">
                  <c:v>23</c:v>
                </c:pt>
                <c:pt idx="1">
                  <c:v>17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</c:ser>
        <c:gapWidth val="35"/>
        <c:overlap val="-5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CBD2D9"/>
            </a:solidFill>
          </a:ln>
        </c:spPr>
        <c:txPr>
          <a:bodyPr/>
          <a:lstStyle/>
          <a:p>
            <a:pPr>
              <a:defRPr sz="850" b="0">
                <a:solidFill>
                  <a:srgbClr val="4A5568"/>
                </a:solidFill>
                <a:latin typeface="Arial"/>
              </a:defRPr>
            </a:pPr>
            <a:endParaRPr lang="es-A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7F8C8D"/>
                </a:solidFill>
                <a:latin typeface="Arial"/>
              </a:defRPr>
            </a:pPr>
            <a:endParaRPr lang="es-AR"/>
          </a:p>
        </c:txPr>
        <c:crossAx val="5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 w="9525">
      <a:solidFill>
        <a:srgbClr val="DDE2E7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s-AR" sz="1200" b="1">
                <a:solidFill>
                  <a:srgbClr val="1E2D3D"/>
                </a:solidFill>
                <a:latin typeface="Arial"/>
              </a:rPr>
              <a:t>Top 10 · Lanus Oeste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Cantidad</c:v>
          </c:tx>
          <c:spPr>
            <a:solidFill>
              <a:srgbClr val="78421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2D3748"/>
                    </a:solidFill>
                    <a:latin typeface="Arial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Productos!$H$72:$H$81</c:f>
              <c:strCache>
                <c:ptCount val="10"/>
                <c:pt idx="0">
                  <c:v>1 KILO</c:v>
                </c:pt>
                <c:pt idx="1">
                  <c:v>1/4  KILO</c:v>
                </c:pt>
                <c:pt idx="2">
                  <c:v>1/2  KILO</c:v>
                </c:pt>
                <c:pt idx="3">
                  <c:v>FRAMBUESAS DOBLE CHOCOLATE - GRIDO</c:v>
                </c:pt>
                <c:pt idx="4">
                  <c:v>PALITO BOMBÓN X10 UN.</c:v>
                </c:pt>
                <c:pt idx="5">
                  <c:v>BOMBON ESCOCES X UNIDAD</c:v>
                </c:pt>
                <c:pt idx="6">
                  <c:v>GIGANTE 2 BOCHAS</c:v>
                </c:pt>
                <c:pt idx="7">
                  <c:v>BOMBON FRUTEZZA X8U.</c:v>
                </c:pt>
                <c:pt idx="8">
                  <c:v>BOMBON ESCOCES EN CAJA X 8</c:v>
                </c:pt>
                <c:pt idx="9">
                  <c:v>BOMBÓN CHOCO AVELLANAS X UN</c:v>
                </c:pt>
              </c:strCache>
            </c:strRef>
          </c:cat>
          <c:val>
            <c:numRef>
              <c:f>Productos!$I$72:$I$81</c:f>
              <c:numCache>
                <c:formatCode>#,##0</c:formatCode>
                <c:ptCount val="10"/>
                <c:pt idx="0">
                  <c:v>41</c:v>
                </c:pt>
                <c:pt idx="1">
                  <c:v>33</c:v>
                </c:pt>
                <c:pt idx="2">
                  <c:v>21</c:v>
                </c:pt>
                <c:pt idx="3">
                  <c:v>15</c:v>
                </c:pt>
                <c:pt idx="4">
                  <c:v>13</c:v>
                </c:pt>
                <c:pt idx="5">
                  <c:v>12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</c:ser>
        <c:gapWidth val="35"/>
        <c:overlap val="-5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CBD2D9"/>
            </a:solidFill>
          </a:ln>
        </c:spPr>
        <c:txPr>
          <a:bodyPr/>
          <a:lstStyle/>
          <a:p>
            <a:pPr>
              <a:defRPr sz="850" b="0">
                <a:solidFill>
                  <a:srgbClr val="4A5568"/>
                </a:solidFill>
                <a:latin typeface="Arial"/>
              </a:defRPr>
            </a:pPr>
            <a:endParaRPr lang="es-A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7F8C8D"/>
                </a:solidFill>
                <a:latin typeface="Arial"/>
              </a:defRPr>
            </a:pPr>
            <a:endParaRPr lang="es-AR"/>
          </a:p>
        </c:txPr>
        <c:crossAx val="5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 w="9525">
      <a:solidFill>
        <a:srgbClr val="DDE2E7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s-AR" sz="1200" b="1">
                <a:solidFill>
                  <a:srgbClr val="1E2D3D"/>
                </a:solidFill>
                <a:latin typeface="Arial"/>
              </a:rPr>
              <a:t>Usos por promoción y sucursal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Fiorito</c:v>
          </c:tx>
          <c:spPr>
            <a:solidFill>
              <a:srgbClr val="4A7C59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Promociones!$I$6:$I$13</c:f>
              <c:strCache>
                <c:ptCount val="8"/>
                <c:pt idx="0">
                  <c:v>20% Jubilados Nuevo</c:v>
                </c:pt>
                <c:pt idx="1">
                  <c:v>20% Jubilados Torta</c:v>
                </c:pt>
                <c:pt idx="2">
                  <c:v>3X2 en Cuarto - Pedi Grido</c:v>
                </c:pt>
                <c:pt idx="3">
                  <c:v>Promo-1kg+1/4 PEYA</c:v>
                </c:pt>
                <c:pt idx="4">
                  <c:v>Promo-2*1/4kg PEYA</c:v>
                </c:pt>
                <c:pt idx="5">
                  <c:v>Promo 1/2+1/4 Apps</c:v>
                </c:pt>
                <c:pt idx="6">
                  <c:v>2 Kilos 25% OFF - Pedi Grido</c:v>
                </c:pt>
                <c:pt idx="7">
                  <c:v>CAFE GRANDE 12 OZ T.NESPRESSO + MUFFIN</c:v>
                </c:pt>
              </c:strCache>
            </c:strRef>
          </c:cat>
          <c:val>
            <c:numRef>
              <c:f>Promociones!$J$6:$J$13</c:f>
              <c:numCache>
                <c:formatCode>#,##0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v>Escalada</c:v>
          </c:tx>
          <c:spPr>
            <a:solidFill>
              <a:srgbClr val="2E4053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Promociones!$I$6:$I$13</c:f>
              <c:strCache>
                <c:ptCount val="8"/>
                <c:pt idx="0">
                  <c:v>20% Jubilados Nuevo</c:v>
                </c:pt>
                <c:pt idx="1">
                  <c:v>20% Jubilados Torta</c:v>
                </c:pt>
                <c:pt idx="2">
                  <c:v>3X2 en Cuarto - Pedi Grido</c:v>
                </c:pt>
                <c:pt idx="3">
                  <c:v>Promo-1kg+1/4 PEYA</c:v>
                </c:pt>
                <c:pt idx="4">
                  <c:v>Promo-2*1/4kg PEYA</c:v>
                </c:pt>
                <c:pt idx="5">
                  <c:v>Promo 1/2+1/4 Apps</c:v>
                </c:pt>
                <c:pt idx="6">
                  <c:v>2 Kilos 25% OFF - Pedi Grido</c:v>
                </c:pt>
                <c:pt idx="7">
                  <c:v>CAFE GRANDE 12 OZ T.NESPRESSO + MUFFIN</c:v>
                </c:pt>
              </c:strCache>
            </c:strRef>
          </c:cat>
          <c:val>
            <c:numRef>
              <c:f>Promociones!$K$6:$K$13</c:f>
              <c:numCache>
                <c:formatCode>#,##0</c:formatCode>
                <c:ptCount val="8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v>Lanus Oeste</c:v>
          </c:tx>
          <c:spPr>
            <a:solidFill>
              <a:srgbClr val="784212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Promociones!$I$6:$I$13</c:f>
              <c:strCache>
                <c:ptCount val="8"/>
                <c:pt idx="0">
                  <c:v>20% Jubilados Nuevo</c:v>
                </c:pt>
                <c:pt idx="1">
                  <c:v>20% Jubilados Torta</c:v>
                </c:pt>
                <c:pt idx="2">
                  <c:v>3X2 en Cuarto - Pedi Grido</c:v>
                </c:pt>
                <c:pt idx="3">
                  <c:v>Promo-1kg+1/4 PEYA</c:v>
                </c:pt>
                <c:pt idx="4">
                  <c:v>Promo-2*1/4kg PEYA</c:v>
                </c:pt>
                <c:pt idx="5">
                  <c:v>Promo 1/2+1/4 Apps</c:v>
                </c:pt>
                <c:pt idx="6">
                  <c:v>2 Kilos 25% OFF - Pedi Grido</c:v>
                </c:pt>
                <c:pt idx="7">
                  <c:v>CAFE GRANDE 12 OZ T.NESPRESSO + MUFFIN</c:v>
                </c:pt>
              </c:strCache>
            </c:strRef>
          </c:cat>
          <c:val>
            <c:numRef>
              <c:f>Promociones!$L$6:$L$13</c:f>
              <c:numCache>
                <c:formatCode>#,##0</c:formatCode>
                <c:ptCount val="8"/>
                <c:pt idx="0">
                  <c:v>12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40"/>
        <c:overlap val="100"/>
        <c:axId val="5001"/>
        <c:axId val="5002"/>
      </c:barChart>
      <c:catAx>
        <c:axId val="5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CBD2D9"/>
            </a:solidFill>
          </a:ln>
        </c:spPr>
        <c:txPr>
          <a:bodyPr/>
          <a:lstStyle/>
          <a:p>
            <a:pPr>
              <a:defRPr sz="850" b="0">
                <a:solidFill>
                  <a:srgbClr val="4A5568"/>
                </a:solidFill>
                <a:latin typeface="Arial"/>
              </a:defRPr>
            </a:pPr>
            <a:endParaRPr lang="es-A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1"/>
        <c:axPos val="b"/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7F8C8D"/>
                </a:solidFill>
                <a:latin typeface="Arial"/>
              </a:defRPr>
            </a:pPr>
            <a:endParaRPr lang="es-AR"/>
          </a:p>
        </c:txPr>
        <c:crossAx val="5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A5568"/>
              </a:solidFill>
              <a:latin typeface="Arial"/>
            </a:defRPr>
          </a:pPr>
          <a:endParaRPr lang="es-AR"/>
        </a:p>
      </c:txPr>
    </c:legend>
    <c:plotVisOnly val="1"/>
    <c:dispBlanksAs val="gap"/>
  </c:chart>
  <c:spPr>
    <a:solidFill>
      <a:srgbClr val="FFFFFF"/>
    </a:solidFill>
    <a:ln w="9525">
      <a:solidFill>
        <a:srgbClr val="DDE2E7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s-AR" sz="1200" b="1">
                <a:solidFill>
                  <a:srgbClr val="1E2D3D"/>
                </a:solidFill>
                <a:latin typeface="Arial"/>
              </a:rPr>
              <a:t>Ofrecidas: aceptadas y rechazadas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Aceptadas</c:v>
          </c:tx>
          <c:spPr>
            <a:solidFill>
              <a:srgbClr val="6B422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Sobreventas!$I$6:$I$8</c:f>
              <c:strCache>
                <c:ptCount val="3"/>
                <c:pt idx="0">
                  <c:v>Fiorito</c:v>
                </c:pt>
                <c:pt idx="1">
                  <c:v>Escalada</c:v>
                </c:pt>
                <c:pt idx="2">
                  <c:v>Lanus Oeste</c:v>
                </c:pt>
              </c:strCache>
            </c:strRef>
          </c:cat>
          <c:val>
            <c:numRef>
              <c:f>Sobreventas!$K$6:$K$8</c:f>
              <c:numCache>
                <c:formatCode>#,##0</c:formatCode>
                <c:ptCount val="3"/>
                <c:pt idx="0">
                  <c:v>23</c:v>
                </c:pt>
                <c:pt idx="1">
                  <c:v>14</c:v>
                </c:pt>
                <c:pt idx="2">
                  <c:v>13</c:v>
                </c:pt>
              </c:numCache>
            </c:numRef>
          </c:val>
        </c:ser>
        <c:ser>
          <c:idx val="1"/>
          <c:order val="1"/>
          <c:tx>
            <c:v>Rechazadas</c:v>
          </c:tx>
          <c:spPr>
            <a:solidFill>
              <a:srgbClr val="D5D8DC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4A5568"/>
                    </a:solidFill>
                    <a:latin typeface="Arial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Sobreventas!$I$6:$I$8</c:f>
              <c:strCache>
                <c:ptCount val="3"/>
                <c:pt idx="0">
                  <c:v>Fiorito</c:v>
                </c:pt>
                <c:pt idx="1">
                  <c:v>Escalada</c:v>
                </c:pt>
                <c:pt idx="2">
                  <c:v>Lanus Oeste</c:v>
                </c:pt>
              </c:strCache>
            </c:strRef>
          </c:cat>
          <c:val>
            <c:numRef>
              <c:f>Sobreventas!$L$6:$L$8</c:f>
              <c:numCache>
                <c:formatCode>#,##0</c:formatCode>
                <c:ptCount val="3"/>
                <c:pt idx="0">
                  <c:v>139</c:v>
                </c:pt>
                <c:pt idx="1">
                  <c:v>71</c:v>
                </c:pt>
                <c:pt idx="2">
                  <c:v>133</c:v>
                </c:pt>
              </c:numCache>
            </c:numRef>
          </c:val>
        </c:ser>
        <c:gapWidth val="60"/>
        <c:overlap val="10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CBD2D9"/>
            </a:solidFill>
          </a:ln>
        </c:spPr>
        <c:txPr>
          <a:bodyPr/>
          <a:lstStyle/>
          <a:p>
            <a:pPr>
              <a:defRPr sz="850" b="0">
                <a:solidFill>
                  <a:srgbClr val="4A5568"/>
                </a:solidFill>
                <a:latin typeface="Arial"/>
              </a:defRPr>
            </a:pPr>
            <a:endParaRPr lang="es-AR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8ECEF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50" b="0">
                <a:solidFill>
                  <a:srgbClr val="7F8C8D"/>
                </a:solidFill>
                <a:latin typeface="Arial"/>
              </a:defRPr>
            </a:pPr>
            <a:endParaRPr lang="es-AR"/>
          </a:p>
        </c:txPr>
        <c:crossAx val="5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4A5568"/>
              </a:solidFill>
              <a:latin typeface="Arial"/>
            </a:defRPr>
          </a:pPr>
          <a:endParaRPr lang="es-AR"/>
        </a:p>
      </c:txPr>
    </c:legend>
    <c:plotVisOnly val="1"/>
    <c:dispBlanksAs val="gap"/>
  </c:chart>
  <c:spPr>
    <a:solidFill>
      <a:srgbClr val="FFFFFF"/>
    </a:solidFill>
    <a:ln w="9525">
      <a:solidFill>
        <a:srgbClr val="DDE2E7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200" b="1"/>
            </a:pPr>
            <a:r>
              <a:rPr lang="es-AR" sz="1200" b="1">
                <a:solidFill>
                  <a:srgbClr val="1E2D3D"/>
                </a:solidFill>
                <a:latin typeface="Arial"/>
              </a:rPr>
              <a:t>Sobreventas por producto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Sobreventas por producto</c:v>
          </c:tx>
          <c:dPt>
            <c:idx val="0"/>
            <c:bubble3D val="0"/>
            <c:spPr>
              <a:solidFill>
                <a:srgbClr val="784212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bubble3D val="0"/>
            <c:spPr>
              <a:solidFill>
                <a:srgbClr val="C0392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bubble3D val="0"/>
            <c:spPr>
              <a:solidFill>
                <a:srgbClr val="1F618D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bubble3D val="0"/>
            <c:spPr>
              <a:solidFill>
                <a:srgbClr val="4A7C59"/>
              </a:solidFill>
              <a:ln w="19050">
                <a:solidFill>
                  <a:srgbClr val="FFFFFF"/>
                </a:solidFill>
              </a:ln>
            </c:spPr>
          </c:dPt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</c:dLbls>
          <c:cat>
            <c:strRef>
              <c:f>Sobreventas!$I$14:$I$17</c:f>
              <c:strCache>
                <c:ptCount val="4"/>
                <c:pt idx="0">
                  <c:v>1/4  KILO</c:v>
                </c:pt>
                <c:pt idx="1">
                  <c:v>1/2  KILO</c:v>
                </c:pt>
                <c:pt idx="2">
                  <c:v>BOMBON FRUTEZZA XU.</c:v>
                </c:pt>
                <c:pt idx="3">
                  <c:v>TORTA COCO C/DULCE DE LECHE 120G.</c:v>
                </c:pt>
              </c:strCache>
            </c:strRef>
          </c:cat>
          <c:val>
            <c:numRef>
              <c:f>Sobreventas!$J$14:$J$17</c:f>
              <c:numCache>
                <c:formatCode>0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12</c:v>
                </c:pt>
                <c:pt idx="3">
                  <c:v>4</c:v>
                </c:pt>
              </c:numCache>
            </c:numRef>
          </c:val>
        </c:ser>
        <c:firstSliceAng val="0"/>
        <c:holeSize val="55"/>
      </c:doughnutChart>
      <c:spPr>
        <a:noFill/>
      </c:spPr>
    </c:plotArea>
    <c:legend>
      <c:legendPos val="r"/>
      <c:overlay val="0"/>
      <c:txPr>
        <a:bodyPr/>
        <a:lstStyle/>
        <a:p>
          <a:pPr>
            <a:defRPr sz="900" b="0">
              <a:solidFill>
                <a:srgbClr val="4A5568"/>
              </a:solidFill>
              <a:latin typeface="Arial"/>
            </a:defRPr>
          </a:pPr>
          <a:endParaRPr lang="es-AR"/>
        </a:p>
      </c:txPr>
    </c:legend>
    <c:plotVisOnly val="1"/>
    <c:dispBlanksAs val="gap"/>
  </c:chart>
  <c:spPr>
    <a:solidFill>
      <a:srgbClr val="FFFFFF"/>
    </a:solidFill>
    <a:ln w="9525">
      <a:solidFill>
        <a:srgbClr val="DDE2E7"/>
      </a:solidFill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14</xdr:col>
      <xdr:colOff>76200</xdr:colOff>
      <xdr:row>3</xdr:row>
      <xdr:rowOff>76200</xdr:rowOff>
    </xdr:from>
    <xdr:to>
      <xdr:col>22</xdr:col>
      <xdr:colOff>0</xdr:colOff>
      <xdr:row>23</xdr:row>
      <xdr:rowOff>0</xdr:rowOff>
    </xdr:to>
    <xdr:graphicFrame macro="">
      <xdr:nvGraphicFramePr>
        <xdr:cNvPr id="2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oneCell">
    <xdr:from>
      <xdr:col>14</xdr:col>
      <xdr:colOff>76200</xdr:colOff>
      <xdr:row>25</xdr:row>
      <xdr:rowOff>76200</xdr:rowOff>
    </xdr:from>
    <xdr:to>
      <xdr:col>22</xdr:col>
      <xdr:colOff>0</xdr:colOff>
      <xdr:row>45</xdr:row>
      <xdr:rowOff>0</xdr:rowOff>
    </xdr:to>
    <xdr:graphicFrame macro="">
      <xdr:nvGraphicFramePr>
        <xdr:cNvPr id="3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oneCell">
    <xdr:from>
      <xdr:col>14</xdr:col>
      <xdr:colOff>76200</xdr:colOff>
      <xdr:row>47</xdr:row>
      <xdr:rowOff>76200</xdr:rowOff>
    </xdr:from>
    <xdr:to>
      <xdr:col>22</xdr:col>
      <xdr:colOff>0</xdr:colOff>
      <xdr:row>67</xdr:row>
      <xdr:rowOff>0</xdr:rowOff>
    </xdr:to>
    <xdr:graphicFrame macro="">
      <xdr:nvGraphicFramePr>
        <xdr:cNvPr id="4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  <xdr:twoCellAnchor editAs="oneCell">
    <xdr:from>
      <xdr:col>14</xdr:col>
      <xdr:colOff>76200</xdr:colOff>
      <xdr:row>69</xdr:row>
      <xdr:rowOff>76200</xdr:rowOff>
    </xdr:from>
    <xdr:to>
      <xdr:col>22</xdr:col>
      <xdr:colOff>0</xdr:colOff>
      <xdr:row>89</xdr:row>
      <xdr:rowOff>0</xdr:rowOff>
    </xdr:to>
    <xdr:graphicFrame macro="">
      <xdr:nvGraphicFramePr>
        <xdr:cNvPr id="5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8</xdr:col>
      <xdr:colOff>76200</xdr:colOff>
      <xdr:row>17</xdr:row>
      <xdr:rowOff>76200</xdr:rowOff>
    </xdr:from>
    <xdr:to>
      <xdr:col>13</xdr:col>
      <xdr:colOff>0</xdr:colOff>
      <xdr:row>36</xdr:row>
      <xdr:rowOff>0</xdr:rowOff>
    </xdr:to>
    <xdr:graphicFrame macro="">
      <xdr:nvGraphicFramePr>
        <xdr:cNvPr id="2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8</xdr:col>
      <xdr:colOff>76200</xdr:colOff>
      <xdr:row>21</xdr:row>
      <xdr:rowOff>76200</xdr:rowOff>
    </xdr:from>
    <xdr:to>
      <xdr:col>11</xdr:col>
      <xdr:colOff>0</xdr:colOff>
      <xdr:row>41</xdr:row>
      <xdr:rowOff>0</xdr:rowOff>
    </xdr:to>
    <xdr:graphicFrame macro="">
      <xdr:nvGraphicFramePr>
        <xdr:cNvPr id="2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oneCell">
    <xdr:from>
      <xdr:col>11</xdr:col>
      <xdr:colOff>76200</xdr:colOff>
      <xdr:row>21</xdr:row>
      <xdr:rowOff>76200</xdr:rowOff>
    </xdr:from>
    <xdr:to>
      <xdr:col>14</xdr:col>
      <xdr:colOff>0</xdr:colOff>
      <xdr:row>41</xdr:row>
      <xdr:rowOff>0</xdr:rowOff>
    </xdr:to>
    <xdr:graphicFrame macro="">
      <xdr:nvGraphicFramePr>
        <xdr:cNvPr id="3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5" customWidth="1" min="3" max="3"/>
    <col width="16" customWidth="1" min="4" max="4"/>
    <col width="7" customWidth="1" min="5" max="5"/>
    <col width="7" customWidth="1" min="6" max="6"/>
    <col width="14" customWidth="1" min="7" max="7"/>
    <col width="12" customWidth="1" min="8" max="8"/>
    <col width="8" customWidth="1" min="9" max="9"/>
    <col width="8" customWidth="1" min="10" max="10"/>
    <col width="8" customWidth="1" min="11" max="11"/>
    <col width="7" customWidth="1" min="12" max="12"/>
    <col width="12" customWidth="1" min="13" max="13"/>
    <col width="8" customWidth="1" min="14" max="14"/>
    <col width="8" customWidth="1" min="15" max="15"/>
    <col width="13" customWidth="1" min="16" max="16"/>
    <col width="7" customWidth="1" min="17" max="17"/>
    <col width="8" customWidth="1" min="18" max="18"/>
    <col width="9" customWidth="1" min="19" max="19"/>
    <col width="10" customWidth="1" min="20" max="20"/>
    <col width="13" customWidth="1" min="21" max="21"/>
    <col width="8" customWidth="1" min="22" max="22"/>
  </cols>
  <sheetData>
    <row r="1" ht="28" customHeight="1">
      <c r="A1" s="1" t="inlineStr">
        <is>
          <t>GRIDO - INFORME DIARIO DE VENTAS | 27/09/2026</t>
        </is>
      </c>
      <c r="T1" s="2" t="inlineStr">
        <is>
          <t>A desarrollar a futuro</t>
        </is>
      </c>
    </row>
    <row r="2" ht="18" customHeight="1">
      <c r="A2" s="3" t="inlineStr">
        <is>
          <t>Generado: 27/09/2026  |  Escalada - Fiorito - Lanus</t>
        </is>
      </c>
    </row>
    <row r="3" ht="20" customHeight="1">
      <c r="A3" s="4" t="inlineStr">
        <is>
          <t>METRICAS CLAVE</t>
        </is>
      </c>
    </row>
    <row r="4" ht="22" customHeight="1">
      <c r="A4" s="5" t="n"/>
      <c r="B4" s="5" t="n"/>
      <c r="C4" s="5" t="n"/>
      <c r="D4" s="6" t="inlineStr">
        <is>
          <t>VENTAS TOTALES</t>
        </is>
      </c>
      <c r="G4" s="6" t="inlineStr">
        <is>
          <t>TRANSACCIONES</t>
        </is>
      </c>
      <c r="J4" s="6" t="inlineStr">
        <is>
          <t>TICKET PROMEDIO</t>
        </is>
      </c>
      <c r="M4" s="6" t="inlineStr">
        <is>
          <t>SOCIOS CLUB GRIDO</t>
        </is>
      </c>
      <c r="P4" s="5" t="n"/>
      <c r="Q4" s="5" t="n"/>
      <c r="R4" s="5" t="n"/>
      <c r="S4" s="5" t="n"/>
      <c r="T4" s="5" t="n"/>
      <c r="U4" s="5" t="n"/>
      <c r="V4" s="5" t="n"/>
    </row>
    <row r="5" ht="28" customHeight="1">
      <c r="A5" s="5" t="n"/>
      <c r="B5" s="5" t="n"/>
      <c r="C5" s="5" t="n"/>
      <c r="D5" s="7">
        <f>G26</f>
        <v/>
      </c>
      <c r="E5" s="5" t="n"/>
      <c r="F5" s="5" t="n"/>
      <c r="G5" s="8">
        <f>I26</f>
        <v/>
      </c>
      <c r="H5" s="5" t="n"/>
      <c r="I5" s="5" t="n"/>
      <c r="J5" s="9">
        <f>H26</f>
        <v/>
      </c>
      <c r="K5" s="5" t="n"/>
      <c r="L5" s="5" t="n"/>
      <c r="M5" s="10">
        <f>O26</f>
        <v/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</row>
    <row r="8">
      <c r="A8" s="11" t="inlineStr">
        <is>
          <t>ALERTA  =  %SV por debajo del estandar (15%)</t>
        </is>
      </c>
      <c r="I8" s="12" t="inlineStr">
        <is>
          <t>SOBREVENTAS</t>
        </is>
      </c>
      <c r="O8" s="13" t="inlineStr">
        <is>
          <t>CLUB GRIDO</t>
        </is>
      </c>
      <c r="T8" s="13" t="inlineStr">
        <is>
          <t xml:space="preserve">CLIMA EN EL TURNO</t>
        </is>
      </c>
    </row>
    <row r="9" ht="36" customHeight="1">
      <c r="A9" s="14" t="inlineStr">
        <is>
          <t>Sucursal / Cajero</t>
        </is>
      </c>
      <c r="B9" s="14" t="inlineStr">
        <is>
          <t>Turno</t>
        </is>
      </c>
      <c r="C9" s="14" t="inlineStr">
        <is>
          <t>Caja</t>
        </is>
      </c>
      <c r="D9" s="14" t="inlineStr">
        <is>
          <t>Horario</t>
        </is>
      </c>
      <c r="E9" s="14" t="inlineStr">
        <is>
          <t>Horas</t>
        </is>
      </c>
      <c r="F9" s="14" t="inlineStr">
        <is>
          <t>Kilos</t>
        </is>
      </c>
      <c r="G9" s="14" t="inlineStr">
        <is>
          <t>Ventas ($)</t>
        </is>
      </c>
      <c r="H9" s="14" t="inlineStr">
        <is>
          <t>Ticket
Prom. ($)</t>
        </is>
      </c>
      <c r="I9" s="15" t="inlineStr">
        <is>
          <t>Tickets</t>
        </is>
      </c>
      <c r="J9" s="15" t="inlineStr">
        <is>
          <t>SV
Activadas</t>
        </is>
      </c>
      <c r="K9" s="15" t="inlineStr">
        <is>
          <t>SV
Aceptadas</t>
        </is>
      </c>
      <c r="L9" s="15" t="inlineStr">
        <is>
          <t>%SV</t>
        </is>
      </c>
      <c r="M9" s="14" t="inlineStr">
        <is>
          <t>Promos ($)</t>
        </is>
      </c>
      <c r="N9" s="14" t="inlineStr">
        <is>
          <t>%Promos</t>
        </is>
      </c>
      <c r="O9" s="16" t="inlineStr">
        <is>
          <t>Nuevos
Socios</t>
        </is>
      </c>
      <c r="P9" s="16" t="inlineStr">
        <is>
          <t xml:space="preserve">Kilos
Club Grido</t>
        </is>
      </c>
      <c r="Q9" s="16" t="inlineStr">
        <is>
          <t xml:space="preserve">%Kilos CG
/Kilos</t>
        </is>
      </c>
      <c r="R9" s="14" t="inlineStr">
        <is>
          <t>Anuladas</t>
        </is>
      </c>
      <c r="S9" s="14" t="inlineStr">
        <is>
          <t>Dif.
de Caja</t>
        </is>
      </c>
      <c r="T9" s="17" t="inlineStr">
        <is>
          <t xml:space="preserve">Sensación térmica
promedio (°C)</t>
        </is>
      </c>
      <c r="U9" s="17" t="inlineStr">
        <is>
          <t xml:space="preserve">Lluvia
(mm)</t>
        </is>
      </c>
      <c r="V9" s="17" t="inlineStr">
        <is>
          <t xml:space="preserve">Condición
climática</t>
        </is>
      </c>
    </row>
    <row r="10">
      <c r="A10" s="18" t="inlineStr">
        <is>
          <t>Fiorito</t>
        </is>
      </c>
      <c r="B10" s="19" t="inlineStr">
        <is>
          <t>Todos</t>
        </is>
      </c>
      <c r="C10" s="19" t="n"/>
      <c r="D10" s="19" t="n"/>
      <c r="E10" s="19">
        <f>SUM(E11:E14)</f>
        <v/>
      </c>
      <c r="F10" s="19">
        <f>SUM(F11:F14)</f>
        <v/>
      </c>
      <c r="G10" s="20">
        <f>SUM(G11:G14)</f>
        <v/>
      </c>
      <c r="H10" s="20">
        <f>IFERROR(G10/I10,"")</f>
        <v/>
      </c>
      <c r="I10" s="19">
        <f>SUM(I11:I14)</f>
        <v/>
      </c>
      <c r="J10" s="19">
        <f>SUM(J11:J14)</f>
        <v/>
      </c>
      <c r="K10" s="19">
        <f>SUM(K11:K14)</f>
        <v/>
      </c>
      <c r="L10" s="21">
        <f>IFERROR(K10/J10,"")</f>
        <v/>
      </c>
      <c r="M10" s="20">
        <f>SUM(M11:M14)</f>
        <v/>
      </c>
      <c r="N10" s="21">
        <f>IFERROR(M10/G10,"")</f>
        <v/>
      </c>
      <c r="O10" s="19">
        <f>SUM(O11:O14)</f>
        <v/>
      </c>
      <c r="P10" s="368">
        <f>SUM(P11:P14)</f>
      </c>
      <c r="Q10" s="21">
        <f>IFERROR(P10/F10,"")</f>
      </c>
      <c r="R10" s="19">
        <f>SUM(R11:R14)</f>
        <v/>
      </c>
      <c r="S10" s="19">
        <f>SUM(S11:S14)</f>
        <v/>
      </c>
      <c r="T10" s="369">
        <v>14.4</v>
      </c>
      <c r="U10" s="369">
        <v>7.1</v>
      </c>
      <c r="V10" s="19" t="inlineStr">
        <is>
          <t xml:space="preserve">Llovizna leve</t>
        </is>
      </c>
    </row>
    <row r="11">
      <c r="A11" s="22" t="inlineStr">
        <is>
          <t xml:space="preserve">    Candela</t>
        </is>
      </c>
      <c r="B11" s="23" t="n">
        <v>9823</v>
      </c>
      <c r="C11" s="23" t="n">
        <v>2</v>
      </c>
      <c r="D11" s="24" t="inlineStr">
        <is>
          <t>10:12 a 17:06</t>
        </is>
      </c>
      <c r="E11" s="24" t="n">
        <v>6.9</v>
      </c>
      <c r="F11" s="24" t="n">
        <v>49.7</v>
      </c>
      <c r="G11" s="25" t="n">
        <v>869960</v>
      </c>
      <c r="H11" s="25">
        <f>IFERROR(G11/I11,"")</f>
        <v/>
      </c>
      <c r="I11" s="26" t="n">
        <v>59</v>
      </c>
      <c r="J11" s="26" t="n">
        <v>55</v>
      </c>
      <c r="K11" s="26" t="n">
        <v>12</v>
      </c>
      <c r="L11" s="27">
        <f>IFERROR(K11/J11,"")</f>
        <v/>
      </c>
      <c r="M11" s="25">
        <v>0</v>
      </c>
      <c r="N11" s="28">
        <f>IFERROR(M11/G11,"")</f>
        <v/>
      </c>
      <c r="O11" s="29" t="n">
        <v>2</v>
      </c>
      <c r="P11" s="366">
        <v>27.5</v>
      </c>
      <c r="Q11" s="31">
        <f>IFERROR(P11/F11,"")</f>
      </c>
      <c r="R11" s="24" t="n">
        <v>3</v>
      </c>
      <c r="S11" s="25" t="n">
        <v>1000</v>
      </c>
      <c r="T11" s="367">
        <v>14</v>
      </c>
      <c r="U11" s="367">
        <v>6.6</v>
      </c>
      <c r="V11" s="24" t="inlineStr">
        <is>
          <t xml:space="preserve">Llovizna leve</t>
        </is>
      </c>
    </row>
    <row r="12">
      <c r="A12" s="22" t="inlineStr">
        <is>
          <t xml:space="preserve">    Ailen</t>
        </is>
      </c>
      <c r="B12" s="23" t="n">
        <v>9825</v>
      </c>
      <c r="C12" s="23" t="n">
        <v>2</v>
      </c>
      <c r="D12" s="24" t="inlineStr">
        <is>
          <t>17:20 a 22:46</t>
        </is>
      </c>
      <c r="E12" s="24" t="n">
        <v>5.4</v>
      </c>
      <c r="F12" s="24" t="n">
        <v>58.2</v>
      </c>
      <c r="G12" s="25" t="n">
        <v>1033900</v>
      </c>
      <c r="H12" s="25">
        <f>IFERROR(G12/I12,"")</f>
        <v/>
      </c>
      <c r="I12" s="26" t="n">
        <v>75</v>
      </c>
      <c r="J12" s="26" t="n">
        <v>71</v>
      </c>
      <c r="K12" s="26" t="n">
        <v>6</v>
      </c>
      <c r="L12" s="27">
        <f>IFERROR(K12/J12,"")</f>
        <v/>
      </c>
      <c r="M12" s="25">
        <v>14000</v>
      </c>
      <c r="N12" s="28">
        <f>IFERROR(M12/G12,"")</f>
        <v/>
      </c>
      <c r="O12" s="29" t="n">
        <v>3</v>
      </c>
      <c r="P12" s="366">
        <v>29</v>
      </c>
      <c r="Q12" s="31">
        <f>IFERROR(P12/F12,"")</f>
      </c>
      <c r="R12" s="24" t="n">
        <v>1</v>
      </c>
      <c r="S12" s="25" t="n">
        <v>0</v>
      </c>
      <c r="T12" s="367">
        <v>15</v>
      </c>
      <c r="U12" s="367">
        <v>0.6</v>
      </c>
      <c r="V12" s="24" t="inlineStr">
        <is>
          <t xml:space="preserve">Mayormente despejado</t>
        </is>
      </c>
    </row>
    <row r="13">
      <c r="A13" s="22" t="inlineStr">
        <is>
          <t xml:space="preserve">    Veronica</t>
        </is>
      </c>
      <c r="B13" s="23" t="n">
        <v>11774</v>
      </c>
      <c r="C13" s="23" t="n">
        <v>1</v>
      </c>
      <c r="D13" s="24" t="inlineStr">
        <is>
          <t>14:12 a 17:11</t>
        </is>
      </c>
      <c r="E13" s="24" t="n">
        <v>3</v>
      </c>
      <c r="F13" s="24" t="n">
        <v>17.9</v>
      </c>
      <c r="G13" s="25" t="n">
        <v>304237</v>
      </c>
      <c r="H13" s="25">
        <f>IFERROR(G13/I13,"")</f>
        <v/>
      </c>
      <c r="I13" s="26" t="n">
        <v>19</v>
      </c>
      <c r="J13" s="26" t="n">
        <v>13</v>
      </c>
      <c r="K13" s="26" t="n">
        <v>2</v>
      </c>
      <c r="L13" s="27">
        <f>IFERROR(K13/J13,"")</f>
        <v/>
      </c>
      <c r="M13" s="25">
        <v>0</v>
      </c>
      <c r="N13" s="28">
        <f>IFERROR(M13/G13,"")</f>
        <v/>
      </c>
      <c r="O13" s="29" t="n">
        <v>0</v>
      </c>
      <c r="P13" s="366">
        <v>9.5</v>
      </c>
      <c r="Q13" s="31">
        <f>IFERROR(P13/F13,"")</f>
      </c>
      <c r="R13" s="24" t="n">
        <v>0</v>
      </c>
      <c r="S13" s="25" t="n">
        <v>31</v>
      </c>
      <c r="T13" s="367">
        <v>14.4</v>
      </c>
      <c r="U13" s="367">
        <v>4.1</v>
      </c>
      <c r="V13" s="24" t="inlineStr">
        <is>
          <t xml:space="preserve">Llovizna leve</t>
        </is>
      </c>
    </row>
    <row r="14">
      <c r="A14" s="22" t="inlineStr">
        <is>
          <t xml:space="preserve">    Luana</t>
        </is>
      </c>
      <c r="B14" s="23" t="n">
        <v>11776</v>
      </c>
      <c r="C14" s="23" t="n">
        <v>1</v>
      </c>
      <c r="D14" s="24" t="inlineStr">
        <is>
          <t>17:23 a 21:35</t>
        </is>
      </c>
      <c r="E14" s="24" t="n">
        <v>4.2</v>
      </c>
      <c r="F14" s="24" t="n">
        <v>39.4</v>
      </c>
      <c r="G14" s="25" t="n">
        <v>629046</v>
      </c>
      <c r="H14" s="25">
        <f>IFERROR(G14/I14,"")</f>
        <v/>
      </c>
      <c r="I14" s="26" t="n">
        <v>36</v>
      </c>
      <c r="J14" s="26" t="n">
        <v>23</v>
      </c>
      <c r="K14" s="26" t="n">
        <v>3</v>
      </c>
      <c r="L14" s="27">
        <f>IFERROR(K14/J14,"")</f>
        <v/>
      </c>
      <c r="M14" s="25">
        <v>54800</v>
      </c>
      <c r="N14" s="28">
        <f>IFERROR(M14/G14,"")</f>
        <v/>
      </c>
      <c r="O14" s="29" t="n">
        <v>0</v>
      </c>
      <c r="P14" s="366">
        <v>13.6</v>
      </c>
      <c r="Q14" s="31">
        <f>IFERROR(P14/F14,"")</f>
      </c>
      <c r="R14" s="24" t="n">
        <v>0</v>
      </c>
      <c r="S14" s="25" t="n">
        <v>992</v>
      </c>
      <c r="T14" s="367">
        <v>15.1</v>
      </c>
      <c r="U14" s="367">
        <v>0.1</v>
      </c>
      <c r="V14" s="24" t="inlineStr">
        <is>
          <t xml:space="preserve">Mayormente despejado</t>
        </is>
      </c>
    </row>
    <row r="15">
      <c r="A15" s="32" t="inlineStr">
        <is>
          <t>Escalada</t>
        </is>
      </c>
      <c r="B15" s="33" t="inlineStr">
        <is>
          <t>Todos</t>
        </is>
      </c>
      <c r="C15" s="33" t="n"/>
      <c r="D15" s="33" t="n"/>
      <c r="E15" s="33">
        <f>SUM(E16:E20)</f>
        <v/>
      </c>
      <c r="F15" s="33">
        <f>SUM(F16:F20)</f>
        <v/>
      </c>
      <c r="G15" s="34">
        <f>SUM(G16:G20)</f>
        <v/>
      </c>
      <c r="H15" s="34">
        <f>IFERROR(G15/I15,"")</f>
        <v/>
      </c>
      <c r="I15" s="33">
        <f>SUM(I16:I20)</f>
        <v/>
      </c>
      <c r="J15" s="33">
        <f>SUM(J16:J20)</f>
        <v/>
      </c>
      <c r="K15" s="33">
        <f>SUM(K16:K20)</f>
        <v/>
      </c>
      <c r="L15" s="35">
        <f>IFERROR(K15/J15,"")</f>
        <v/>
      </c>
      <c r="M15" s="34">
        <f>SUM(M16:M20)</f>
        <v/>
      </c>
      <c r="N15" s="35">
        <f>IFERROR(M15/G15,"")</f>
        <v/>
      </c>
      <c r="O15" s="33">
        <f>SUM(O16:O20)</f>
        <v/>
      </c>
      <c r="P15" s="371">
        <f>SUM(P16:P20)</f>
      </c>
      <c r="Q15" s="35">
        <f>IFERROR(P15/F15,"")</f>
      </c>
      <c r="R15" s="33">
        <f>SUM(R16:R20)</f>
        <v/>
      </c>
      <c r="S15" s="33">
        <f>SUM(S16:S20)</f>
        <v/>
      </c>
      <c r="T15" s="372">
        <v>14.2</v>
      </c>
      <c r="U15" s="372">
        <v>7.4</v>
      </c>
      <c r="V15" s="33" t="inlineStr">
        <is>
          <t xml:space="preserve">Llovizna leve</t>
        </is>
      </c>
    </row>
    <row r="16">
      <c r="A16" s="36" t="inlineStr">
        <is>
          <t xml:space="preserve">    Eliseo</t>
        </is>
      </c>
      <c r="B16" s="37" t="n">
        <v>8470</v>
      </c>
      <c r="C16" s="37" t="n">
        <v>2</v>
      </c>
      <c r="D16" s="38" t="inlineStr">
        <is>
          <t>10:18 a 15:00</t>
        </is>
      </c>
      <c r="E16" s="38" t="n">
        <v>4.7</v>
      </c>
      <c r="F16" s="38" t="n">
        <v>22</v>
      </c>
      <c r="G16" s="39" t="n">
        <v>375557.01</v>
      </c>
      <c r="H16" s="39">
        <f>IFERROR(G16/I16,"")</f>
        <v/>
      </c>
      <c r="I16" s="26" t="n">
        <v>25</v>
      </c>
      <c r="J16" s="26" t="n">
        <v>19</v>
      </c>
      <c r="K16" s="26" t="n">
        <v>2</v>
      </c>
      <c r="L16" s="27">
        <f>IFERROR(K16/J16,"")</f>
        <v/>
      </c>
      <c r="M16" s="39">
        <v>64560</v>
      </c>
      <c r="N16" s="40">
        <f>IFERROR(M16/G16,"")</f>
        <v/>
      </c>
      <c r="O16" s="29" t="n">
        <v>0</v>
      </c>
      <c r="P16" s="366">
        <v>3.6</v>
      </c>
      <c r="Q16" s="31">
        <f>IFERROR(P16/F16,"")</f>
      </c>
      <c r="R16" s="38" t="n">
        <v>2</v>
      </c>
      <c r="S16" s="39" t="n">
        <v>0</v>
      </c>
      <c r="T16" s="370">
        <v>13.7</v>
      </c>
      <c r="U16" s="370">
        <v>3.4</v>
      </c>
      <c r="V16" s="38" t="inlineStr">
        <is>
          <t xml:space="preserve">Llovizna moderada</t>
        </is>
      </c>
    </row>
    <row r="17">
      <c r="A17" s="36" t="inlineStr">
        <is>
          <t xml:space="preserve">    Silvia</t>
        </is>
      </c>
      <c r="B17" s="37" t="n">
        <v>8471</v>
      </c>
      <c r="C17" s="37" t="n">
        <v>2</v>
      </c>
      <c r="D17" s="38" t="inlineStr">
        <is>
          <t>15:07 a 19:02</t>
        </is>
      </c>
      <c r="E17" s="38" t="n">
        <v>3.9</v>
      </c>
      <c r="F17" s="38" t="n">
        <v>33</v>
      </c>
      <c r="G17" s="39" t="n">
        <v>618817.01</v>
      </c>
      <c r="H17" s="39">
        <f>IFERROR(G17/I17,"")</f>
        <v/>
      </c>
      <c r="I17" s="26" t="n">
        <v>50</v>
      </c>
      <c r="J17" s="26" t="n">
        <v>30</v>
      </c>
      <c r="K17" s="26" t="n">
        <v>9</v>
      </c>
      <c r="L17" s="27">
        <f>IFERROR(K17/J17,"")</f>
        <v/>
      </c>
      <c r="M17" s="39">
        <v>0</v>
      </c>
      <c r="N17" s="40">
        <f>IFERROR(M17/G17,"")</f>
        <v/>
      </c>
      <c r="O17" s="29" t="n">
        <v>3</v>
      </c>
      <c r="P17" s="366">
        <v>13.5</v>
      </c>
      <c r="Q17" s="31">
        <f>IFERROR(P17/F17,"")</f>
      </c>
      <c r="R17" s="38" t="n">
        <v>0</v>
      </c>
      <c r="S17" s="39" t="n">
        <v>0</v>
      </c>
      <c r="T17" s="370">
        <v>14.7</v>
      </c>
      <c r="U17" s="370">
        <v>3.2</v>
      </c>
      <c r="V17" s="38" t="inlineStr">
        <is>
          <t xml:space="preserve">Llovizna leve</t>
        </is>
      </c>
    </row>
    <row r="18">
      <c r="A18" s="36" t="inlineStr">
        <is>
          <t xml:space="preserve">    Emiliano</t>
        </is>
      </c>
      <c r="B18" s="37" t="n">
        <v>8472</v>
      </c>
      <c r="C18" s="37" t="n">
        <v>2</v>
      </c>
      <c r="D18" s="38" t="inlineStr">
        <is>
          <t>19:18 a 22:29</t>
        </is>
      </c>
      <c r="E18" s="38" t="n">
        <v>3.2</v>
      </c>
      <c r="F18" s="38" t="n">
        <v>34.8</v>
      </c>
      <c r="G18" s="39" t="n">
        <v>603212</v>
      </c>
      <c r="H18" s="39">
        <f>IFERROR(G18/I18,"")</f>
        <v/>
      </c>
      <c r="I18" s="26" t="n">
        <v>47</v>
      </c>
      <c r="J18" s="26" t="n">
        <v>21</v>
      </c>
      <c r="K18" s="26" t="n">
        <v>0</v>
      </c>
      <c r="L18" s="27">
        <f>IFERROR(K18/J18,"")</f>
        <v/>
      </c>
      <c r="M18" s="39">
        <v>33700</v>
      </c>
      <c r="N18" s="40">
        <f>IFERROR(M18/G18,"")</f>
        <v/>
      </c>
      <c r="O18" s="29" t="n">
        <v>4</v>
      </c>
      <c r="P18" s="366">
        <v>9.2</v>
      </c>
      <c r="Q18" s="31">
        <f>IFERROR(P18/F18,"")</f>
      </c>
      <c r="R18" s="38" t="n">
        <v>1</v>
      </c>
      <c r="S18" s="39" t="n">
        <v>0</v>
      </c>
      <c r="T18" s="370">
        <v>15</v>
      </c>
      <c r="U18" s="370">
        <v>0.5</v>
      </c>
      <c r="V18" s="38" t="inlineStr">
        <is>
          <t xml:space="preserve">Mayormente despejado</t>
        </is>
      </c>
    </row>
    <row r="19">
      <c r="A19" s="36" t="inlineStr">
        <is>
          <t xml:space="preserve">    Camila</t>
        </is>
      </c>
      <c r="B19" s="37" t="n">
        <v>9993</v>
      </c>
      <c r="C19" s="37" t="n">
        <v>1</v>
      </c>
      <c r="D19" s="38" t="inlineStr">
        <is>
          <t>12:56 a 13:28</t>
        </is>
      </c>
      <c r="E19" s="38" t="n">
        <v>0.5</v>
      </c>
      <c r="F19" s="38" t="n">
        <v>2.5</v>
      </c>
      <c r="G19" s="39" t="n">
        <v>51100</v>
      </c>
      <c r="H19" s="39">
        <f>IFERROR(G19/I19,"")</f>
        <v/>
      </c>
      <c r="I19" s="26" t="n">
        <v>4</v>
      </c>
      <c r="J19" s="26" t="n">
        <v>4</v>
      </c>
      <c r="K19" s="26" t="n">
        <v>0</v>
      </c>
      <c r="L19" s="27">
        <f>IFERROR(K19/J19,"")</f>
        <v/>
      </c>
      <c r="M19" s="39">
        <v>0</v>
      </c>
      <c r="N19" s="40">
        <f>IFERROR(M19/G19,"")</f>
        <v/>
      </c>
      <c r="O19" s="29" t="n">
        <v>0</v>
      </c>
      <c r="P19" s="366">
        <v>2.5</v>
      </c>
      <c r="Q19" s="31">
        <f>IFERROR(P19/F19,"")</f>
      </c>
      <c r="R19" s="38" t="n">
        <v>0</v>
      </c>
      <c r="S19" s="39" t="n">
        <v>0</v>
      </c>
      <c r="T19" s="370">
        <v>14.4</v>
      </c>
      <c r="U19" s="370">
        <v>1.9</v>
      </c>
      <c r="V19" s="38" t="inlineStr">
        <is>
          <t xml:space="preserve">Chaparrones leves</t>
        </is>
      </c>
    </row>
    <row r="20">
      <c r="A20" s="36" t="inlineStr">
        <is>
          <t xml:space="preserve">    Facundo</t>
        </is>
      </c>
      <c r="B20" s="37" t="n">
        <v>9994</v>
      </c>
      <c r="C20" s="37" t="n">
        <v>1</v>
      </c>
      <c r="D20" s="38" t="inlineStr">
        <is>
          <t>21:13 a 01:00</t>
        </is>
      </c>
      <c r="E20" s="38" t="n">
        <v>3.8</v>
      </c>
      <c r="F20" s="38" t="n">
        <v>6.4</v>
      </c>
      <c r="G20" s="39" t="n">
        <v>127100</v>
      </c>
      <c r="H20" s="39">
        <f>IFERROR(G20/I20,"")</f>
        <v/>
      </c>
      <c r="I20" s="26" t="n">
        <v>12</v>
      </c>
      <c r="J20" s="26" t="n">
        <v>11</v>
      </c>
      <c r="K20" s="26" t="n">
        <v>3</v>
      </c>
      <c r="L20" s="27">
        <f>IFERROR(K20/J20,"")</f>
        <v/>
      </c>
      <c r="M20" s="39">
        <v>0</v>
      </c>
      <c r="N20" s="40">
        <f>IFERROR(M20/G20,"")</f>
        <v/>
      </c>
      <c r="O20" s="29" t="n">
        <v>1</v>
      </c>
      <c r="P20" s="366">
        <v>5.9</v>
      </c>
      <c r="Q20" s="31">
        <f>IFERROR(P20/F20,"")</f>
      </c>
      <c r="R20" s="38" t="n">
        <v>0</v>
      </c>
      <c r="S20" s="39" t="n">
        <v>0</v>
      </c>
      <c r="T20" s="370">
        <v>14.1</v>
      </c>
      <c r="U20" s="370">
        <v>0.8</v>
      </c>
      <c r="V20" s="38" t="inlineStr">
        <is>
          <t xml:space="preserve">Llovizna leve</t>
        </is>
      </c>
    </row>
    <row r="21">
      <c r="A21" s="41" t="inlineStr">
        <is>
          <t>Lanus Oeste</t>
        </is>
      </c>
      <c r="B21" s="42" t="inlineStr">
        <is>
          <t>Todos</t>
        </is>
      </c>
      <c r="C21" s="42" t="n"/>
      <c r="D21" s="42" t="n"/>
      <c r="E21" s="42">
        <f>SUM(E22:E25)</f>
        <v/>
      </c>
      <c r="F21" s="42">
        <f>SUM(F22:F25)</f>
        <v/>
      </c>
      <c r="G21" s="43">
        <f>SUM(G22:G25)</f>
        <v/>
      </c>
      <c r="H21" s="43">
        <f>IFERROR(G21/I21,"")</f>
        <v/>
      </c>
      <c r="I21" s="42">
        <f>SUM(I22:I25)</f>
        <v/>
      </c>
      <c r="J21" s="42">
        <f>SUM(J22:J25)</f>
        <v/>
      </c>
      <c r="K21" s="42">
        <f>SUM(K22:K25)</f>
        <v/>
      </c>
      <c r="L21" s="44">
        <f>IFERROR(K21/J21,"")</f>
        <v/>
      </c>
      <c r="M21" s="43">
        <f>SUM(M22:M25)</f>
        <v/>
      </c>
      <c r="N21" s="44">
        <f>IFERROR(M21/G21,"")</f>
        <v/>
      </c>
      <c r="O21" s="42">
        <f>SUM(O22:O25)</f>
        <v/>
      </c>
      <c r="P21" s="374">
        <f>SUM(P22:P25)</f>
      </c>
      <c r="Q21" s="44">
        <f>IFERROR(P21/F21,"")</f>
      </c>
      <c r="R21" s="42">
        <f>SUM(R22:R25)</f>
        <v/>
      </c>
      <c r="S21" s="42">
        <f>SUM(S22:S25)</f>
        <v/>
      </c>
      <c r="T21" s="375">
        <v>14.2</v>
      </c>
      <c r="U21" s="375">
        <v>7.4</v>
      </c>
      <c r="V21" s="42" t="inlineStr">
        <is>
          <t xml:space="preserve">Llovizna leve</t>
        </is>
      </c>
    </row>
    <row r="22">
      <c r="A22" s="45" t="inlineStr">
        <is>
          <t xml:space="preserve">    Oscar</t>
        </is>
      </c>
      <c r="B22" s="46" t="n">
        <v>13390</v>
      </c>
      <c r="C22" s="46" t="n">
        <v>1</v>
      </c>
      <c r="D22" s="47" t="inlineStr">
        <is>
          <t>11:37 a 16:53</t>
        </is>
      </c>
      <c r="E22" s="47" t="n">
        <v>5.3</v>
      </c>
      <c r="F22" s="47" t="n">
        <v>50.5</v>
      </c>
      <c r="G22" s="48" t="n">
        <v>923930</v>
      </c>
      <c r="H22" s="48">
        <f>IFERROR(G22/I22,"")</f>
        <v/>
      </c>
      <c r="I22" s="26" t="n">
        <v>60</v>
      </c>
      <c r="J22" s="26" t="n">
        <v>53</v>
      </c>
      <c r="K22" s="26" t="n">
        <v>7</v>
      </c>
      <c r="L22" s="27">
        <f>IFERROR(K22/J22,"")</f>
        <v/>
      </c>
      <c r="M22" s="48">
        <v>42100</v>
      </c>
      <c r="N22" s="49">
        <f>IFERROR(M22/G22,"")</f>
        <v/>
      </c>
      <c r="O22" s="29" t="n">
        <v>1</v>
      </c>
      <c r="P22" s="366">
        <v>28.3</v>
      </c>
      <c r="Q22" s="31">
        <f>IFERROR(P22/F22,"")</f>
      </c>
      <c r="R22" s="47" t="n">
        <v>3</v>
      </c>
      <c r="S22" s="48" t="n">
        <v>0</v>
      </c>
      <c r="T22" s="373">
        <v>14.1</v>
      </c>
      <c r="U22" s="373">
        <v>6.2</v>
      </c>
      <c r="V22" s="47" t="inlineStr">
        <is>
          <t xml:space="preserve">Chaparrones leves</t>
        </is>
      </c>
    </row>
    <row r="23">
      <c r="A23" s="45" t="inlineStr">
        <is>
          <t xml:space="preserve">    Wanda</t>
        </is>
      </c>
      <c r="B23" s="46" t="n">
        <v>13391</v>
      </c>
      <c r="C23" s="46" t="n">
        <v>1</v>
      </c>
      <c r="D23" s="47" t="inlineStr">
        <is>
          <t>17:12 a 00:38</t>
        </is>
      </c>
      <c r="E23" s="47" t="n">
        <v>7.4</v>
      </c>
      <c r="F23" s="47" t="n">
        <v>63.3</v>
      </c>
      <c r="G23" s="48" t="n">
        <v>1071920</v>
      </c>
      <c r="H23" s="48">
        <f>IFERROR(G23/I23,"")</f>
        <v/>
      </c>
      <c r="I23" s="26" t="n">
        <v>81</v>
      </c>
      <c r="J23" s="26" t="n">
        <v>76</v>
      </c>
      <c r="K23" s="26" t="n">
        <v>6</v>
      </c>
      <c r="L23" s="27">
        <f>IFERROR(K23/J23,"")</f>
        <v/>
      </c>
      <c r="M23" s="48">
        <v>59760</v>
      </c>
      <c r="N23" s="49">
        <f>IFERROR(M23/G23,"")</f>
        <v/>
      </c>
      <c r="O23" s="29" t="n">
        <v>1</v>
      </c>
      <c r="P23" s="366">
        <v>22.5</v>
      </c>
      <c r="Q23" s="31">
        <f>IFERROR(P23/F23,"")</f>
      </c>
      <c r="R23" s="47" t="n">
        <v>4</v>
      </c>
      <c r="S23" s="48" t="n">
        <v>2550</v>
      </c>
      <c r="T23" s="373">
        <v>14.6</v>
      </c>
      <c r="U23" s="373">
        <v>1</v>
      </c>
      <c r="V23" s="47" t="inlineStr">
        <is>
          <t xml:space="preserve">Llovizna leve</t>
        </is>
      </c>
    </row>
    <row r="24">
      <c r="A24" s="45" t="inlineStr">
        <is>
          <t xml:space="preserve">    Fiorella</t>
        </is>
      </c>
      <c r="B24" s="46" t="n">
        <v>13889</v>
      </c>
      <c r="C24" s="46" t="n">
        <v>2</v>
      </c>
      <c r="D24" s="47" t="inlineStr">
        <is>
          <t>10:10 a 16:53</t>
        </is>
      </c>
      <c r="E24" s="47" t="n">
        <v>6.7</v>
      </c>
      <c r="F24" s="47" t="n">
        <v>17.5</v>
      </c>
      <c r="G24" s="48" t="n">
        <v>285220</v>
      </c>
      <c r="H24" s="48">
        <f>IFERROR(G24/I24,"")</f>
        <v/>
      </c>
      <c r="I24" s="26" t="n">
        <v>17</v>
      </c>
      <c r="J24" s="26" t="n">
        <v>12</v>
      </c>
      <c r="K24" s="26" t="n">
        <v>0</v>
      </c>
      <c r="L24" s="27">
        <f>IFERROR(K24/J24,"")</f>
        <v/>
      </c>
      <c r="M24" s="48">
        <v>39120.02</v>
      </c>
      <c r="N24" s="49">
        <f>IFERROR(M24/G24,"")</f>
        <v/>
      </c>
      <c r="O24" s="29" t="n">
        <v>0</v>
      </c>
      <c r="P24" s="366">
        <v>5.7</v>
      </c>
      <c r="Q24" s="31">
        <f>IFERROR(P24/F24,"")</f>
      </c>
      <c r="R24" s="47" t="n">
        <v>1</v>
      </c>
      <c r="S24" s="48" t="n">
        <v>59600</v>
      </c>
      <c r="T24" s="373">
        <v>13.9</v>
      </c>
      <c r="U24" s="373">
        <v>6.5</v>
      </c>
      <c r="V24" s="47" t="inlineStr">
        <is>
          <t xml:space="preserve">Llovizna leve</t>
        </is>
      </c>
    </row>
    <row r="25">
      <c r="A25" s="45" t="inlineStr">
        <is>
          <t xml:space="preserve">    Agustin</t>
        </is>
      </c>
      <c r="B25" s="46" t="n">
        <v>13891</v>
      </c>
      <c r="C25" s="46" t="n">
        <v>2</v>
      </c>
      <c r="D25" s="47" t="inlineStr">
        <is>
          <t>17:48 a 23:10</t>
        </is>
      </c>
      <c r="E25" s="47" t="n">
        <v>5.4</v>
      </c>
      <c r="F25" s="47" t="n">
        <v>16.6</v>
      </c>
      <c r="G25" s="48" t="n">
        <v>238760</v>
      </c>
      <c r="H25" s="48">
        <f>IFERROR(G25/I25,"")</f>
        <v/>
      </c>
      <c r="I25" s="26" t="n">
        <v>11</v>
      </c>
      <c r="J25" s="26" t="n">
        <v>5</v>
      </c>
      <c r="K25" s="26" t="n">
        <v>0</v>
      </c>
      <c r="L25" s="27">
        <f>IFERROR(K25/J25,"")</f>
        <v/>
      </c>
      <c r="M25" s="48">
        <v>63350.01</v>
      </c>
      <c r="N25" s="49">
        <f>IFERROR(M25/G25,"")</f>
        <v/>
      </c>
      <c r="O25" s="29" t="n">
        <v>0</v>
      </c>
      <c r="P25" s="366">
        <v>8.5</v>
      </c>
      <c r="Q25" s="31">
        <f>IFERROR(P25/F25,"")</f>
      </c>
      <c r="R25" s="47" t="n">
        <v>0</v>
      </c>
      <c r="S25" s="48" t="n">
        <v>0</v>
      </c>
      <c r="T25" s="373">
        <v>14.8</v>
      </c>
      <c r="U25" s="373">
        <v>0.8</v>
      </c>
      <c r="V25" s="47" t="inlineStr">
        <is>
          <t xml:space="preserve">Mayormente despejado</t>
        </is>
      </c>
    </row>
    <row r="26">
      <c r="A26" s="50" t="inlineStr">
        <is>
          <t>TOTAL</t>
        </is>
      </c>
      <c r="B26" s="51" t="n"/>
      <c r="C26" s="51" t="n"/>
      <c r="D26" s="51" t="n"/>
      <c r="E26" s="51">
        <f>E10+E15+E21</f>
        <v/>
      </c>
      <c r="F26" s="51">
        <f>F10+F15+F21</f>
        <v/>
      </c>
      <c r="G26" s="52">
        <f>G10+G15+G21</f>
        <v/>
      </c>
      <c r="H26" s="52">
        <f>IFERROR(G26/I26,"")</f>
        <v/>
      </c>
      <c r="I26" s="51">
        <f>I10+I15+I21</f>
        <v/>
      </c>
      <c r="J26" s="51">
        <f>J10+J15+J21</f>
        <v/>
      </c>
      <c r="K26" s="51">
        <f>K10+K15+K21</f>
        <v/>
      </c>
      <c r="L26" s="53">
        <f>IFERROR(K26/J26,"")</f>
        <v/>
      </c>
      <c r="M26" s="52">
        <f>M10+M15+M21</f>
        <v/>
      </c>
      <c r="N26" s="53">
        <f>IFERROR(M26/G26,"")</f>
        <v/>
      </c>
      <c r="O26" s="51">
        <f>O10+O15+O21</f>
        <v/>
      </c>
      <c r="P26" s="376">
        <f>P10+P15+P21</f>
      </c>
      <c r="Q26" s="53">
        <f>IFERROR(P26/F26,"")</f>
      </c>
      <c r="R26" s="51">
        <f>R10+R15+R21</f>
        <v/>
      </c>
      <c r="S26" s="51">
        <f>S10+S15+S21</f>
        <v/>
      </c>
      <c r="T26" s="377">
        <v>14.2</v>
      </c>
      <c r="U26" s="377">
        <v>7.4</v>
      </c>
      <c r="V26" s="50" t="inlineStr">
        <is>
          <t xml:space="preserve">Llovizna leve</t>
        </is>
      </c>
    </row>
  </sheetData>
  <mergeCells count="12">
    <mergeCell ref="T8:V8"/>
    <mergeCell ref="A2:V2"/>
    <mergeCell ref="T1:V1"/>
    <mergeCell ref="I8:L8"/>
    <mergeCell ref="D4:F4"/>
    <mergeCell ref="A1:S1"/>
    <mergeCell ref="M4:O4"/>
    <mergeCell ref="G4:I4"/>
    <mergeCell ref="J4:L4"/>
    <mergeCell ref="A3:V3"/>
    <mergeCell ref="O8:Q8"/>
    <mergeCell ref="A8:H8"/>
  </mergeCells>
  <conditionalFormatting sqref="L11:L14">
    <cfRule type="expression" priority="1" dxfId="0" stopIfTrue="0">
      <formula>AND(ISNUMBER($L11),$L11&lt;0.15)</formula>
    </cfRule>
  </conditionalFormatting>
  <conditionalFormatting sqref="L16:L20">
    <cfRule type="expression" priority="2" dxfId="0" stopIfTrue="0">
      <formula>AND(ISNUMBER($L16),$L16&lt;0.15)</formula>
    </cfRule>
  </conditionalFormatting>
  <conditionalFormatting sqref="L22:L25">
    <cfRule type="expression" priority="3" dxfId="0" stopIfTrue="0">
      <formula>AND(ISNUMBER($L22),$L22&lt;0.15)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84212"/>
  </sheetPr>
  <sheetViews>
    <sheetView showGridLines="0" zoomScale="90" zoomScaleNormal="9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3" customWidth="1"/>
    <col min="2" max="2" width="18" customWidth="1"/>
    <col min="3" max="3" width="34" customWidth="1"/>
    <col min="4" max="4" width="10" customWidth="1"/>
    <col min="5" max="5" width="10" customWidth="1"/>
    <col min="6" max="6" width="13" customWidth="1"/>
    <col min="7" max="7" width="3" customWidth="1"/>
    <col min="8" max="8" width="3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3" customWidth="1"/>
  </cols>
  <sheetData>
    <row r="1" ht="34" customHeight="1">
      <c r="A1" s="54" t="inlineStr">
        <is>
          <t xml:space="preserve">PRODUCTOS VENDIDOS  ·  27/09/2026</t>
        </is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ht="20" customHeight="1">
      <c r="A2" s="55" t="inlineStr">
        <is>
          <t xml:space="preserve">Todas las unidades vendidas por sucursal, incluidas las que salieron dentro de promociones y sobreventas. Fuente: DF_DTW.</t>
        </is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ht="8" customHeight="1"/>
    <row r="4" ht="22" customHeight="1">
      <c r="A4" s="161" t="inlineStr">
        <is>
          <t xml:space="preserve">Sucursal</t>
        </is>
      </c>
      <c r="B4" s="161" t="inlineStr">
        <is>
          <t xml:space="preserve">Rubro</t>
        </is>
      </c>
      <c r="C4" s="161" t="inlineStr">
        <is>
          <t xml:space="preserve">Producto</t>
        </is>
      </c>
      <c r="D4" s="161" t="inlineStr">
        <is>
          <t xml:space="preserve">Cantidad</t>
        </is>
      </c>
      <c r="E4" s="161" t="inlineStr">
        <is>
          <t xml:space="preserve">Kilos</t>
        </is>
      </c>
      <c r="F4" s="161" t="inlineStr">
        <is>
          <t xml:space="preserve">Venta</t>
        </is>
      </c>
      <c r="H4" s="164" t="inlineStr">
        <is>
          <t xml:space="preserve">TOP 10 PRODUCTOS POR CANTIDAD  ·  LAS 3 SUCURSALES JUNTAS</t>
        </is>
      </c>
      <c r="I4" s="164"/>
      <c r="J4" s="164"/>
      <c r="K4" s="164"/>
      <c r="L4" s="164"/>
      <c r="M4" s="164"/>
    </row>
    <row r="5" ht="30" customHeight="1">
      <c r="A5" s="146" t="inlineStr">
        <is>
          <t xml:space="preserve">Fiorito</t>
        </is>
      </c>
      <c r="B5" s="147" t="inlineStr">
        <is>
          <t xml:space="preserve">(sin rubro)</t>
        </is>
      </c>
      <c r="C5" s="147" t="inlineStr">
        <is>
          <t xml:space="preserve">DESCUENTO PEDIGRIDO</t>
        </is>
      </c>
      <c r="D5" s="85">
        <v>1</v>
      </c>
      <c r="E5" s="86">
        <v>0</v>
      </c>
      <c r="F5" s="83">
        <v>-6400</v>
      </c>
      <c r="H5" s="161" t="inlineStr">
        <is>
          <t xml:space="preserve">Producto</t>
        </is>
      </c>
      <c r="I5" s="165" t="inlineStr">
        <is>
          <t xml:space="preserve">Fiorito</t>
        </is>
      </c>
      <c r="J5" s="166" t="inlineStr">
        <is>
          <t xml:space="preserve">Escalada</t>
        </is>
      </c>
      <c r="K5" s="167" t="inlineStr">
        <is>
          <t xml:space="preserve">Lanus Oeste</t>
        </is>
      </c>
      <c r="L5" s="141" t="inlineStr">
        <is>
          <t xml:space="preserve">Total</t>
        </is>
      </c>
      <c r="M5" s="161" t="inlineStr">
        <is>
          <t xml:space="preserve">% de las unidades</t>
        </is>
      </c>
    </row>
    <row r="6">
      <c r="A6" s="146" t="inlineStr">
        <is>
          <t xml:space="preserve">Fiorito</t>
        </is>
      </c>
      <c r="B6" s="147" t="inlineStr">
        <is>
          <t xml:space="preserve">CAFETERIA</t>
        </is>
      </c>
      <c r="C6" s="147" t="inlineStr">
        <is>
          <t xml:space="preserve">CHOCOLATADA GRANDE</t>
        </is>
      </c>
      <c r="D6" s="85">
        <v>2</v>
      </c>
      <c r="E6" s="86">
        <v>0</v>
      </c>
      <c r="F6" s="83">
        <v>2400</v>
      </c>
      <c r="H6" s="168" t="inlineStr">
        <is>
          <t xml:space="preserve">1 KILO</t>
        </is>
      </c>
      <c r="I6" s="169">
        <f>SUMIFS($D$5:$D$211,$A$5:$A$211,"Fiorito",$C$5:$C$211,H6)</f>
        <v>43</v>
      </c>
      <c r="J6" s="169">
        <f>SUMIFS($D$5:$D$211,$A$5:$A$211,"Escalada",$C$5:$C$211,H6)</f>
        <v>23</v>
      </c>
      <c r="K6" s="169">
        <f>SUMIFS($D$5:$D$211,$A$5:$A$211,"Lanus Oeste",$C$5:$C$211,H6)</f>
        <v>41</v>
      </c>
      <c r="L6" s="170">
        <f>SUM(I6:K6)</f>
        <v>107</v>
      </c>
      <c r="M6" s="171">
        <f>IF(SUM($D$5:$D$211)=0,0,L6/SUM($D$5:$D$211))</f>
        <v>0.11076604554865424</v>
      </c>
    </row>
    <row r="7">
      <c r="A7" s="146" t="inlineStr">
        <is>
          <t xml:space="preserve">Fiorito</t>
        </is>
      </c>
      <c r="B7" s="147" t="inlineStr">
        <is>
          <t xml:space="preserve">CAFETERIA</t>
        </is>
      </c>
      <c r="C7" s="147" t="inlineStr">
        <is>
          <t xml:space="preserve">CAFE CAPUCCINO</t>
        </is>
      </c>
      <c r="D7" s="85">
        <v>2</v>
      </c>
      <c r="E7" s="86">
        <v>0</v>
      </c>
      <c r="F7" s="83">
        <v>6600</v>
      </c>
      <c r="H7" s="172" t="inlineStr">
        <is>
          <t xml:space="preserve">1/4  KILO</t>
        </is>
      </c>
      <c r="I7" s="173">
        <f>SUMIFS($D$5:$D$211,$A$5:$A$211,"Fiorito",$C$5:$C$211,H7)</f>
        <v>40</v>
      </c>
      <c r="J7" s="173">
        <f>SUMIFS($D$5:$D$211,$A$5:$A$211,"Escalada",$C$5:$C$211,H7)</f>
        <v>12</v>
      </c>
      <c r="K7" s="173">
        <f>SUMIFS($D$5:$D$211,$A$5:$A$211,"Lanus Oeste",$C$5:$C$211,H7)</f>
        <v>33</v>
      </c>
      <c r="L7" s="174">
        <f>SUM(I7:K7)</f>
        <v>85</v>
      </c>
      <c r="M7" s="175">
        <f>IF(SUM($D$5:$D$211)=0,0,L7/SUM($D$5:$D$211))</f>
        <v>0.087991718426501039</v>
      </c>
    </row>
    <row r="8">
      <c r="A8" s="146" t="inlineStr">
        <is>
          <t xml:space="preserve">Fiorito</t>
        </is>
      </c>
      <c r="B8" s="147" t="inlineStr">
        <is>
          <t xml:space="preserve">CAFETERIA</t>
        </is>
      </c>
      <c r="C8" s="147" t="inlineStr">
        <is>
          <t xml:space="preserve">MEDIALUNA EXTRA DULCE PRECOCIDA</t>
        </is>
      </c>
      <c r="D8" s="85">
        <v>1</v>
      </c>
      <c r="E8" s="86">
        <v>0</v>
      </c>
      <c r="F8" s="83">
        <v>1000</v>
      </c>
      <c r="H8" s="168" t="inlineStr">
        <is>
          <t xml:space="preserve">1/2  KILO</t>
        </is>
      </c>
      <c r="I8" s="169">
        <f>SUMIFS($D$5:$D$211,$A$5:$A$211,"Fiorito",$C$5:$C$211,H8)</f>
        <v>34</v>
      </c>
      <c r="J8" s="169">
        <f>SUMIFS($D$5:$D$211,$A$5:$A$211,"Escalada",$C$5:$C$211,H8)</f>
        <v>17</v>
      </c>
      <c r="K8" s="169">
        <f>SUMIFS($D$5:$D$211,$A$5:$A$211,"Lanus Oeste",$C$5:$C$211,H8)</f>
        <v>21</v>
      </c>
      <c r="L8" s="170">
        <f>SUM(I8:K8)</f>
        <v>72</v>
      </c>
      <c r="M8" s="171">
        <f>IF(SUM($D$5:$D$211)=0,0,L8/SUM($D$5:$D$211))</f>
        <v>0.074534161490683232</v>
      </c>
    </row>
    <row r="9">
      <c r="A9" s="146" t="inlineStr">
        <is>
          <t xml:space="preserve">Fiorito</t>
        </is>
      </c>
      <c r="B9" s="147" t="inlineStr">
        <is>
          <t xml:space="preserve">CAFETERIA</t>
        </is>
      </c>
      <c r="C9" s="147" t="inlineStr">
        <is>
          <t xml:space="preserve">CAFÉ ESPRESSO DOBLE GRANDE</t>
        </is>
      </c>
      <c r="D9" s="85">
        <v>1</v>
      </c>
      <c r="E9" s="86">
        <v>0</v>
      </c>
      <c r="F9" s="83">
        <v>3300</v>
      </c>
      <c r="H9" s="172" t="inlineStr">
        <is>
          <t xml:space="preserve">FRAMBUESAS DOBLE CHOCOLATE - GRIDO</t>
        </is>
      </c>
      <c r="I9" s="173">
        <f>SUMIFS($D$5:$D$211,$A$5:$A$211,"Fiorito",$C$5:$C$211,H9)</f>
        <v>7</v>
      </c>
      <c r="J9" s="173">
        <f>SUMIFS($D$5:$D$211,$A$5:$A$211,"Escalada",$C$5:$C$211,H9)</f>
        <v>11</v>
      </c>
      <c r="K9" s="173">
        <f>SUMIFS($D$5:$D$211,$A$5:$A$211,"Lanus Oeste",$C$5:$C$211,H9)</f>
        <v>15</v>
      </c>
      <c r="L9" s="174">
        <f>SUM(I9:K9)</f>
        <v>33</v>
      </c>
      <c r="M9" s="175">
        <f>IF(SUM($D$5:$D$211)=0,0,L9/SUM($D$5:$D$211))</f>
        <v>0.034161490683229816</v>
      </c>
    </row>
    <row r="10">
      <c r="A10" s="146" t="inlineStr">
        <is>
          <t xml:space="preserve">Fiorito</t>
        </is>
      </c>
      <c r="B10" s="147" t="inlineStr">
        <is>
          <t xml:space="preserve">CONGELADOS</t>
        </is>
      </c>
      <c r="C10" s="147" t="inlineStr">
        <is>
          <t xml:space="preserve">FRAMBUESAS DOBLE CHOCOLATE - GRIDO</t>
        </is>
      </c>
      <c r="D10" s="85">
        <v>7</v>
      </c>
      <c r="E10" s="86">
        <v>0.84</v>
      </c>
      <c r="F10" s="83">
        <v>39200</v>
      </c>
      <c r="H10" s="168" t="inlineStr">
        <is>
          <t xml:space="preserve">GIGANTE 2 BOCHAS</t>
        </is>
      </c>
      <c r="I10" s="169">
        <f>SUMIFS($D$5:$D$211,$A$5:$A$211,"Fiorito",$C$5:$C$211,H10)</f>
        <v>9</v>
      </c>
      <c r="J10" s="169">
        <f>SUMIFS($D$5:$D$211,$A$5:$A$211,"Escalada",$C$5:$C$211,H10)</f>
        <v>14</v>
      </c>
      <c r="K10" s="169">
        <f>SUMIFS($D$5:$D$211,$A$5:$A$211,"Lanus Oeste",$C$5:$C$211,H10)</f>
        <v>10</v>
      </c>
      <c r="L10" s="170">
        <f>SUM(I10:K10)</f>
        <v>33</v>
      </c>
      <c r="M10" s="171">
        <f>IF(SUM($D$5:$D$211)=0,0,L10/SUM($D$5:$D$211))</f>
        <v>0.034161490683229816</v>
      </c>
    </row>
    <row r="11">
      <c r="A11" s="146" t="inlineStr">
        <is>
          <t xml:space="preserve">Fiorito</t>
        </is>
      </c>
      <c r="B11" s="147" t="inlineStr">
        <is>
          <t xml:space="preserve">CONGELADOS</t>
        </is>
      </c>
      <c r="C11" s="147" t="inlineStr">
        <is>
          <t xml:space="preserve">FRUTILLAS DOBLE CHOCOLATE - GRIDO</t>
        </is>
      </c>
      <c r="D11" s="85">
        <v>5</v>
      </c>
      <c r="E11" s="86">
        <v>0.6</v>
      </c>
      <c r="F11" s="83">
        <v>28000</v>
      </c>
      <c r="H11" s="172" t="inlineStr">
        <is>
          <t xml:space="preserve">PALITO BOMBÓN X10 UN.</t>
        </is>
      </c>
      <c r="I11" s="173">
        <f>SUMIFS($D$5:$D$211,$A$5:$A$211,"Fiorito",$C$5:$C$211,H11)</f>
        <v>9</v>
      </c>
      <c r="J11" s="173">
        <f>SUMIFS($D$5:$D$211,$A$5:$A$211,"Escalada",$C$5:$C$211,H11)</f>
        <v>7</v>
      </c>
      <c r="K11" s="173">
        <f>SUMIFS($D$5:$D$211,$A$5:$A$211,"Lanus Oeste",$C$5:$C$211,H11)</f>
        <v>13</v>
      </c>
      <c r="L11" s="174">
        <f>SUM(I11:K11)</f>
        <v>29</v>
      </c>
      <c r="M11" s="175">
        <f>IF(SUM($D$5:$D$211)=0,0,L11/SUM($D$5:$D$211))</f>
        <v>0.030020703933747412</v>
      </c>
    </row>
    <row r="12">
      <c r="A12" s="146" t="inlineStr">
        <is>
          <t xml:space="preserve">Fiorito</t>
        </is>
      </c>
      <c r="B12" s="147" t="inlineStr">
        <is>
          <t xml:space="preserve">CUCURUCH.</t>
        </is>
      </c>
      <c r="C12" s="147" t="inlineStr">
        <is>
          <t xml:space="preserve">CUPS BLACK X 3</t>
        </is>
      </c>
      <c r="D12" s="85">
        <v>8</v>
      </c>
      <c r="E12" s="86">
        <v>0</v>
      </c>
      <c r="F12" s="83">
        <v>9600</v>
      </c>
      <c r="H12" s="168" t="inlineStr">
        <is>
          <t xml:space="preserve">BOMBON ESCOCES EN CAJA X 8</t>
        </is>
      </c>
      <c r="I12" s="169">
        <f>SUMIFS($D$5:$D$211,$A$5:$A$211,"Fiorito",$C$5:$C$211,H12)</f>
        <v>4</v>
      </c>
      <c r="J12" s="169">
        <f>SUMIFS($D$5:$D$211,$A$5:$A$211,"Escalada",$C$5:$C$211,H12)</f>
        <v>10</v>
      </c>
      <c r="K12" s="169">
        <f>SUMIFS($D$5:$D$211,$A$5:$A$211,"Lanus Oeste",$C$5:$C$211,H12)</f>
        <v>9</v>
      </c>
      <c r="L12" s="170">
        <f>SUM(I12:K12)</f>
        <v>23</v>
      </c>
      <c r="M12" s="171">
        <f>IF(SUM($D$5:$D$211)=0,0,L12/SUM($D$5:$D$211))</f>
        <v>0.023809523809523808</v>
      </c>
    </row>
    <row r="13">
      <c r="A13" s="146" t="inlineStr">
        <is>
          <t xml:space="preserve">Fiorito</t>
        </is>
      </c>
      <c r="B13" s="147" t="inlineStr">
        <is>
          <t xml:space="preserve">CUCURUCH.</t>
        </is>
      </c>
      <c r="C13" s="147" t="inlineStr">
        <is>
          <t xml:space="preserve">CUPS CONITO X 5 UN.</t>
        </is>
      </c>
      <c r="D13" s="85">
        <v>4</v>
      </c>
      <c r="E13" s="86">
        <v>0</v>
      </c>
      <c r="F13" s="83">
        <v>4000</v>
      </c>
      <c r="H13" s="172" t="inlineStr">
        <is>
          <t xml:space="preserve">BOMBON ESCOCES X UNIDAD</t>
        </is>
      </c>
      <c r="I13" s="173">
        <f>SUMIFS($D$5:$D$211,$A$5:$A$211,"Fiorito",$C$5:$C$211,H13)</f>
        <v>5</v>
      </c>
      <c r="J13" s="173">
        <f>SUMIFS($D$5:$D$211,$A$5:$A$211,"Escalada",$C$5:$C$211,H13)</f>
        <v>5</v>
      </c>
      <c r="K13" s="173">
        <f>SUMIFS($D$5:$D$211,$A$5:$A$211,"Lanus Oeste",$C$5:$C$211,H13)</f>
        <v>12</v>
      </c>
      <c r="L13" s="174">
        <f>SUM(I13:K13)</f>
        <v>22</v>
      </c>
      <c r="M13" s="175">
        <f>IF(SUM($D$5:$D$211)=0,0,L13/SUM($D$5:$D$211))</f>
        <v>0.022774327122153208</v>
      </c>
    </row>
    <row r="14">
      <c r="A14" s="146" t="inlineStr">
        <is>
          <t xml:space="preserve">Fiorito</t>
        </is>
      </c>
      <c r="B14" s="147" t="inlineStr">
        <is>
          <t xml:space="preserve">CUCURUCH.</t>
        </is>
      </c>
      <c r="C14" s="147" t="inlineStr">
        <is>
          <t xml:space="preserve">CUPS CLÁSICO BOCA ANCHA  X3</t>
        </is>
      </c>
      <c r="D14" s="85">
        <v>1</v>
      </c>
      <c r="E14" s="86">
        <v>0</v>
      </c>
      <c r="F14" s="83">
        <v>1200</v>
      </c>
      <c r="H14" s="168" t="inlineStr">
        <is>
          <t xml:space="preserve">PALITO FRUTAL FRUTILLA X UNIDAD</t>
        </is>
      </c>
      <c r="I14" s="169">
        <f>SUMIFS($D$5:$D$211,$A$5:$A$211,"Fiorito",$C$5:$C$211,H14)</f>
        <v>9</v>
      </c>
      <c r="J14" s="169">
        <f>SUMIFS($D$5:$D$211,$A$5:$A$211,"Escalada",$C$5:$C$211,H14)</f>
        <v>7</v>
      </c>
      <c r="K14" s="169">
        <f>SUMIFS($D$5:$D$211,$A$5:$A$211,"Lanus Oeste",$C$5:$C$211,H14)</f>
        <v>5</v>
      </c>
      <c r="L14" s="170">
        <f>SUM(I14:K14)</f>
        <v>21</v>
      </c>
      <c r="M14" s="171">
        <f>IF(SUM($D$5:$D$211)=0,0,L14/SUM($D$5:$D$211))</f>
        <v>0.021739130434782608</v>
      </c>
    </row>
    <row r="15">
      <c r="A15" s="146" t="inlineStr">
        <is>
          <t xml:space="preserve">Fiorito</t>
        </is>
      </c>
      <c r="B15" s="147" t="inlineStr">
        <is>
          <t xml:space="preserve">DELIVERY</t>
        </is>
      </c>
      <c r="C15" s="147" t="inlineStr">
        <is>
          <t xml:space="preserve">ENVIO A DOMICILIO</t>
        </is>
      </c>
      <c r="D15" s="85">
        <v>41</v>
      </c>
      <c r="E15" s="86">
        <v>0</v>
      </c>
      <c r="F15" s="83">
        <v>61323</v>
      </c>
      <c r="H15" s="172" t="inlineStr">
        <is>
          <t xml:space="preserve">BOMBON FRUTEZZA XU.</t>
        </is>
      </c>
      <c r="I15" s="173">
        <f>SUMIFS($D$5:$D$211,$A$5:$A$211,"Fiorito",$C$5:$C$211,H15)</f>
        <v>6</v>
      </c>
      <c r="J15" s="173">
        <f>SUMIFS($D$5:$D$211,$A$5:$A$211,"Escalada",$C$5:$C$211,H15)</f>
        <v>8</v>
      </c>
      <c r="K15" s="173">
        <f>SUMIFS($D$5:$D$211,$A$5:$A$211,"Lanus Oeste",$C$5:$C$211,H15)</f>
        <v>4</v>
      </c>
      <c r="L15" s="174">
        <f>SUM(I15:K15)</f>
        <v>18</v>
      </c>
      <c r="M15" s="175">
        <f>IF(SUM($D$5:$D$211)=0,0,L15/SUM($D$5:$D$211))</f>
        <v>0.018633540372670808</v>
      </c>
    </row>
    <row r="16">
      <c r="A16" s="146" t="inlineStr">
        <is>
          <t xml:space="preserve">Fiorito</t>
        </is>
      </c>
      <c r="B16" s="147" t="inlineStr">
        <is>
          <t xml:space="preserve">FAMILIAR</t>
        </is>
      </c>
      <c r="C16" s="147" t="inlineStr">
        <is>
          <t xml:space="preserve">FAMNº1 (CHOCOLATE/D.LECHE/AMERICANA)</t>
        </is>
      </c>
      <c r="D16" s="85">
        <v>6</v>
      </c>
      <c r="E16" s="86">
        <v>9.6</v>
      </c>
      <c r="F16" s="83">
        <v>105600</v>
      </c>
    </row>
    <row r="17">
      <c r="A17" s="146" t="inlineStr">
        <is>
          <t xml:space="preserve">Fiorito</t>
        </is>
      </c>
      <c r="B17" s="147" t="inlineStr">
        <is>
          <t xml:space="preserve">FAMILIAR</t>
        </is>
      </c>
      <c r="C17" s="147" t="inlineStr">
        <is>
          <t xml:space="preserve">FAMNº4 (D.LECHE G/VAINILLA/CHOCOLATE)</t>
        </is>
      </c>
      <c r="D17" s="85">
        <v>4</v>
      </c>
      <c r="E17" s="86">
        <v>6.4</v>
      </c>
      <c r="F17" s="83">
        <v>70400</v>
      </c>
    </row>
    <row r="18">
      <c r="A18" s="146" t="inlineStr">
        <is>
          <t xml:space="preserve">Fiorito</t>
        </is>
      </c>
      <c r="B18" s="147" t="inlineStr">
        <is>
          <t xml:space="preserve">FAMILIAR</t>
        </is>
      </c>
      <c r="C18" s="147" t="inlineStr">
        <is>
          <t xml:space="preserve">FAMNº3 (VAINILLA/FRUTILLA/GRANIZADO)</t>
        </is>
      </c>
      <c r="D18" s="85">
        <v>4</v>
      </c>
      <c r="E18" s="86">
        <v>6.4</v>
      </c>
      <c r="F18" s="83">
        <v>70400</v>
      </c>
    </row>
    <row r="19">
      <c r="A19" s="146" t="inlineStr">
        <is>
          <t xml:space="preserve">Fiorito</t>
        </is>
      </c>
      <c r="B19" s="147" t="inlineStr">
        <is>
          <t xml:space="preserve">FAMILIAR</t>
        </is>
      </c>
      <c r="C19" s="147" t="inlineStr">
        <is>
          <t xml:space="preserve">FAMNº2 (AMERICANA/FRUTILLA/DDL GRANIZADO)</t>
        </is>
      </c>
      <c r="D19" s="85">
        <v>3</v>
      </c>
      <c r="E19" s="86">
        <v>4.8</v>
      </c>
      <c r="F19" s="83">
        <v>52800</v>
      </c>
    </row>
    <row r="20">
      <c r="A20" s="146" t="inlineStr">
        <is>
          <t xml:space="preserve">Fiorito</t>
        </is>
      </c>
      <c r="B20" s="147" t="inlineStr">
        <is>
          <t xml:space="preserve">FRIZZIO</t>
        </is>
      </c>
      <c r="C20" s="147" t="inlineStr">
        <is>
          <t xml:space="preserve">PIZZA  CEBOLLA</t>
        </is>
      </c>
      <c r="D20" s="85">
        <v>2</v>
      </c>
      <c r="E20" s="86">
        <v>1.08</v>
      </c>
      <c r="F20" s="83">
        <v>14800</v>
      </c>
    </row>
    <row r="21">
      <c r="A21" s="146" t="inlineStr">
        <is>
          <t xml:space="preserve">Fiorito</t>
        </is>
      </c>
      <c r="B21" s="147" t="inlineStr">
        <is>
          <t xml:space="preserve">GRIDO TOPS</t>
        </is>
      </c>
      <c r="C21" s="147" t="inlineStr">
        <is>
          <t xml:space="preserve">GRIDO TOPS SALSA FRUTILLA</t>
        </is>
      </c>
      <c r="D21" s="85">
        <v>1</v>
      </c>
      <c r="E21" s="86">
        <v>0</v>
      </c>
      <c r="F21" s="83">
        <v>500</v>
      </c>
    </row>
    <row r="22">
      <c r="A22" s="146" t="inlineStr">
        <is>
          <t xml:space="preserve">Fiorito</t>
        </is>
      </c>
      <c r="B22" s="147" t="inlineStr">
        <is>
          <t xml:space="preserve">GRIDO TOPS</t>
        </is>
      </c>
      <c r="C22" s="147" t="inlineStr">
        <is>
          <t xml:space="preserve">GRIDO TOPS - SALSA DULCE DE LECHE</t>
        </is>
      </c>
      <c r="D22" s="85">
        <v>1</v>
      </c>
      <c r="E22" s="86">
        <v>0</v>
      </c>
      <c r="F22" s="83">
        <v>500</v>
      </c>
    </row>
    <row r="23">
      <c r="A23" s="146" t="inlineStr">
        <is>
          <t xml:space="preserve">Fiorito</t>
        </is>
      </c>
      <c r="B23" s="147" t="inlineStr">
        <is>
          <t xml:space="preserve">GRIDO TOPS</t>
        </is>
      </c>
      <c r="C23" s="147" t="inlineStr">
        <is>
          <t xml:space="preserve">GRIDO TOPS - SALSA CHOCOLATE</t>
        </is>
      </c>
      <c r="D23" s="85">
        <v>1</v>
      </c>
      <c r="E23" s="86">
        <v>0</v>
      </c>
      <c r="F23" s="83">
        <v>500</v>
      </c>
    </row>
    <row r="24">
      <c r="A24" s="146" t="inlineStr">
        <is>
          <t xml:space="preserve">Fiorito</t>
        </is>
      </c>
      <c r="B24" s="147" t="inlineStr">
        <is>
          <t xml:space="preserve">GRIDOS</t>
        </is>
      </c>
      <c r="C24" s="147" t="inlineStr">
        <is>
          <t xml:space="preserve">CAPUCCINO GRIDO</t>
        </is>
      </c>
      <c r="D24" s="85">
        <v>9</v>
      </c>
      <c r="E24" s="86">
        <v>1.44</v>
      </c>
      <c r="F24" s="83">
        <v>39600</v>
      </c>
    </row>
    <row r="25">
      <c r="A25" s="146" t="inlineStr">
        <is>
          <t xml:space="preserve">Fiorito</t>
        </is>
      </c>
      <c r="B25" s="147" t="inlineStr">
        <is>
          <t xml:space="preserve">GRIDOS</t>
        </is>
      </c>
      <c r="C25" s="147" t="inlineStr">
        <is>
          <t xml:space="preserve">VELA NUMERO X UN</t>
        </is>
      </c>
      <c r="D25" s="85">
        <v>6</v>
      </c>
      <c r="E25" s="86">
        <v>0</v>
      </c>
      <c r="F25" s="83">
        <v>7200</v>
      </c>
    </row>
    <row r="26" ht="22" customHeight="1">
      <c r="A26" s="146" t="inlineStr">
        <is>
          <t xml:space="preserve">Fiorito</t>
        </is>
      </c>
      <c r="B26" s="147" t="inlineStr">
        <is>
          <t xml:space="preserve">GRIDOS</t>
        </is>
      </c>
      <c r="C26" s="147" t="inlineStr">
        <is>
          <t xml:space="preserve">GRIDO BATIDO</t>
        </is>
      </c>
      <c r="D26" s="85">
        <v>5</v>
      </c>
      <c r="E26" s="86">
        <v>0.8</v>
      </c>
      <c r="F26" s="83">
        <v>21500</v>
      </c>
      <c r="H26" s="176" t="inlineStr">
        <is>
          <t xml:space="preserve">TOP 10 PRODUCTOS POR CANTIDAD  ·  FIORITO</t>
        </is>
      </c>
      <c r="I26" s="176"/>
      <c r="J26" s="176"/>
      <c r="K26" s="176"/>
    </row>
    <row r="27" ht="30" customHeight="1">
      <c r="A27" s="146" t="inlineStr">
        <is>
          <t xml:space="preserve">Fiorito</t>
        </is>
      </c>
      <c r="B27" s="147" t="inlineStr">
        <is>
          <t xml:space="preserve">HELADO X  KILO</t>
        </is>
      </c>
      <c r="C27" s="147" t="inlineStr">
        <is>
          <t xml:space="preserve">1 KILO</t>
        </is>
      </c>
      <c r="D27" s="85">
        <v>43</v>
      </c>
      <c r="E27" s="86">
        <v>43</v>
      </c>
      <c r="F27" s="83">
        <v>729300</v>
      </c>
      <c r="H27" s="165" t="inlineStr">
        <is>
          <t xml:space="preserve">Producto</t>
        </is>
      </c>
      <c r="I27" s="165" t="inlineStr">
        <is>
          <t xml:space="preserve">Cantidad</t>
        </is>
      </c>
      <c r="J27" s="165" t="inlineStr">
        <is>
          <t xml:space="preserve">Venta</t>
        </is>
      </c>
      <c r="K27" s="165" t="inlineStr">
        <is>
          <t xml:space="preserve">% de las unidades</t>
        </is>
      </c>
    </row>
    <row r="28">
      <c r="A28" s="146" t="inlineStr">
        <is>
          <t xml:space="preserve">Fiorito</t>
        </is>
      </c>
      <c r="B28" s="147" t="inlineStr">
        <is>
          <t xml:space="preserve">HELADO X  KILO</t>
        </is>
      </c>
      <c r="C28" s="147" t="inlineStr">
        <is>
          <t xml:space="preserve">1/4  KILO</t>
        </is>
      </c>
      <c r="D28" s="85">
        <v>40</v>
      </c>
      <c r="E28" s="86">
        <v>10</v>
      </c>
      <c r="F28" s="83">
        <v>248800</v>
      </c>
      <c r="H28" s="168" t="inlineStr">
        <is>
          <t xml:space="preserve">1 KILO</t>
        </is>
      </c>
      <c r="I28" s="169">
        <f>SUMIFS($D$5:$D$211,$A$5:$A$211,"Fiorito",$C$5:$C$211,H28)</f>
        <v>43</v>
      </c>
      <c r="J28" s="177">
        <f>SUMIFS($F$5:$F$211,$A$5:$A$211,"Fiorito",$C$5:$C$211,H28)</f>
        <v>729300</v>
      </c>
      <c r="K28" s="171">
        <f>IF(SUMIF($A$5:$A$211,"Fiorito",$D$5:$D$211)=0,0,I28/SUMIF($A$5:$A$211,"Fiorito",$D$5:$D$211))</f>
        <v>0.11025641025641025</v>
      </c>
    </row>
    <row r="29">
      <c r="A29" s="146" t="inlineStr">
        <is>
          <t xml:space="preserve">Fiorito</t>
        </is>
      </c>
      <c r="B29" s="147" t="inlineStr">
        <is>
          <t xml:space="preserve">HELADO X  KILO</t>
        </is>
      </c>
      <c r="C29" s="147" t="inlineStr">
        <is>
          <t xml:space="preserve">1/2  KILO</t>
        </is>
      </c>
      <c r="D29" s="85">
        <v>34</v>
      </c>
      <c r="E29" s="86">
        <v>17</v>
      </c>
      <c r="F29" s="83">
        <v>324200</v>
      </c>
      <c r="H29" s="178" t="inlineStr">
        <is>
          <t xml:space="preserve">1/4  KILO</t>
        </is>
      </c>
      <c r="I29" s="104">
        <f>SUMIFS($D$5:$D$211,$A$5:$A$211,"Fiorito",$C$5:$C$211,H29)</f>
        <v>40</v>
      </c>
      <c r="J29" s="83">
        <f>SUMIFS($F$5:$F$211,$A$5:$A$211,"Fiorito",$C$5:$C$211,H29)</f>
        <v>248800</v>
      </c>
      <c r="K29" s="179">
        <f>IF(SUMIF($A$5:$A$211,"Fiorito",$D$5:$D$211)=0,0,I29/SUMIF($A$5:$A$211,"Fiorito",$D$5:$D$211))</f>
        <v>0.10256410256410256</v>
      </c>
    </row>
    <row r="30">
      <c r="A30" s="146" t="inlineStr">
        <is>
          <t xml:space="preserve">Fiorito</t>
        </is>
      </c>
      <c r="B30" s="147" t="inlineStr">
        <is>
          <t xml:space="preserve">HELADO X BOCHA</t>
        </is>
      </c>
      <c r="C30" s="147" t="inlineStr">
        <is>
          <t xml:space="preserve">GIGANTE 2 BOCHAS</t>
        </is>
      </c>
      <c r="D30" s="85">
        <v>9</v>
      </c>
      <c r="E30" s="86">
        <v>1.44</v>
      </c>
      <c r="F30" s="83">
        <v>31500</v>
      </c>
      <c r="H30" s="168" t="inlineStr">
        <is>
          <t xml:space="preserve">1/2  KILO</t>
        </is>
      </c>
      <c r="I30" s="169">
        <f>SUMIFS($D$5:$D$211,$A$5:$A$211,"Fiorito",$C$5:$C$211,H30)</f>
        <v>34</v>
      </c>
      <c r="J30" s="177">
        <f>SUMIFS($F$5:$F$211,$A$5:$A$211,"Fiorito",$C$5:$C$211,H30)</f>
        <v>324200</v>
      </c>
      <c r="K30" s="171">
        <f>IF(SUMIF($A$5:$A$211,"Fiorito",$D$5:$D$211)=0,0,I30/SUMIF($A$5:$A$211,"Fiorito",$D$5:$D$211))</f>
        <v>0.087179487179487175</v>
      </c>
    </row>
    <row r="31">
      <c r="A31" s="146" t="inlineStr">
        <is>
          <t xml:space="preserve">Fiorito</t>
        </is>
      </c>
      <c r="B31" s="147" t="inlineStr">
        <is>
          <t xml:space="preserve">HELADO X BOCHA</t>
        </is>
      </c>
      <c r="C31" s="147" t="inlineStr">
        <is>
          <t xml:space="preserve">GIGANTE 3 BOCHAS</t>
        </is>
      </c>
      <c r="D31" s="85">
        <v>7</v>
      </c>
      <c r="E31" s="86">
        <v>1.68</v>
      </c>
      <c r="F31" s="83">
        <v>27300</v>
      </c>
      <c r="H31" s="178" t="inlineStr">
        <is>
          <t xml:space="preserve">PALITO FRUTAL FRUTILLA X UNIDAD</t>
        </is>
      </c>
      <c r="I31" s="104">
        <f>SUMIFS($D$5:$D$211,$A$5:$A$211,"Fiorito",$C$5:$C$211,H31)</f>
        <v>9</v>
      </c>
      <c r="J31" s="83">
        <f>SUMIFS($F$5:$F$211,$A$5:$A$211,"Fiorito",$C$5:$C$211,H31)</f>
        <v>7200</v>
      </c>
      <c r="K31" s="179">
        <f>IF(SUMIF($A$5:$A$211,"Fiorito",$D$5:$D$211)=0,0,I31/SUMIF($A$5:$A$211,"Fiorito",$D$5:$D$211))</f>
        <v>0.023076923076923078</v>
      </c>
    </row>
    <row r="32">
      <c r="A32" s="146" t="inlineStr">
        <is>
          <t xml:space="preserve">Fiorito</t>
        </is>
      </c>
      <c r="B32" s="147" t="inlineStr">
        <is>
          <t xml:space="preserve">HELADO X BOCHA</t>
        </is>
      </c>
      <c r="C32" s="147" t="inlineStr">
        <is>
          <t xml:space="preserve">CUCURUCHO GRIDO 3 BOCHAS</t>
        </is>
      </c>
      <c r="D32" s="85">
        <v>2</v>
      </c>
      <c r="E32" s="86">
        <v>0.48</v>
      </c>
      <c r="F32" s="83">
        <v>8200</v>
      </c>
      <c r="H32" s="168" t="inlineStr">
        <is>
          <t xml:space="preserve">CAPUCCINO GRIDO</t>
        </is>
      </c>
      <c r="I32" s="169">
        <f>SUMIFS($D$5:$D$211,$A$5:$A$211,"Fiorito",$C$5:$C$211,H32)</f>
        <v>9</v>
      </c>
      <c r="J32" s="177">
        <f>SUMIFS($F$5:$F$211,$A$5:$A$211,"Fiorito",$C$5:$C$211,H32)</f>
        <v>39600</v>
      </c>
      <c r="K32" s="171">
        <f>IF(SUMIF($A$5:$A$211,"Fiorito",$D$5:$D$211)=0,0,I32/SUMIF($A$5:$A$211,"Fiorito",$D$5:$D$211))</f>
        <v>0.023076923076923078</v>
      </c>
    </row>
    <row r="33">
      <c r="A33" s="146" t="inlineStr">
        <is>
          <t xml:space="preserve">Fiorito</t>
        </is>
      </c>
      <c r="B33" s="147" t="inlineStr">
        <is>
          <t xml:space="preserve">HELADO X BOCHA</t>
        </is>
      </c>
      <c r="C33" s="147" t="inlineStr">
        <is>
          <t xml:space="preserve">MINI GIGANTE</t>
        </is>
      </c>
      <c r="D33" s="85">
        <v>1</v>
      </c>
      <c r="E33" s="86">
        <v>0.08</v>
      </c>
      <c r="F33" s="83">
        <v>2800</v>
      </c>
      <c r="H33" s="178" t="inlineStr">
        <is>
          <t xml:space="preserve">GIGANTE 2 BOCHAS</t>
        </is>
      </c>
      <c r="I33" s="104">
        <f>SUMIFS($D$5:$D$211,$A$5:$A$211,"Fiorito",$C$5:$C$211,H33)</f>
        <v>9</v>
      </c>
      <c r="J33" s="83">
        <f>SUMIFS($F$5:$F$211,$A$5:$A$211,"Fiorito",$C$5:$C$211,H33)</f>
        <v>31500</v>
      </c>
      <c r="K33" s="179">
        <f>IF(SUMIF($A$5:$A$211,"Fiorito",$D$5:$D$211)=0,0,I33/SUMIF($A$5:$A$211,"Fiorito",$D$5:$D$211))</f>
        <v>0.023076923076923078</v>
      </c>
    </row>
    <row r="34">
      <c r="A34" s="146" t="inlineStr">
        <is>
          <t xml:space="preserve">Fiorito</t>
        </is>
      </c>
      <c r="B34" s="147" t="inlineStr">
        <is>
          <t xml:space="preserve">HELADO X BOCHA</t>
        </is>
      </c>
      <c r="C34" s="147" t="inlineStr">
        <is>
          <t xml:space="preserve">TACITA 2 BOCHAS</t>
        </is>
      </c>
      <c r="D34" s="85">
        <v>1</v>
      </c>
      <c r="E34" s="86">
        <v>0.16</v>
      </c>
      <c r="F34" s="83">
        <v>3500</v>
      </c>
      <c r="H34" s="168" t="inlineStr">
        <is>
          <t xml:space="preserve">PALITO BOMBÓN X10 UN.</t>
        </is>
      </c>
      <c r="I34" s="169">
        <f>SUMIFS($D$5:$D$211,$A$5:$A$211,"Fiorito",$C$5:$C$211,H34)</f>
        <v>9</v>
      </c>
      <c r="J34" s="177">
        <f>SUMIFS($F$5:$F$211,$A$5:$A$211,"Fiorito",$C$5:$C$211,H34)</f>
        <v>67900</v>
      </c>
      <c r="K34" s="171">
        <f>IF(SUMIF($A$5:$A$211,"Fiorito",$D$5:$D$211)=0,0,I34/SUMIF($A$5:$A$211,"Fiorito",$D$5:$D$211))</f>
        <v>0.023076923076923078</v>
      </c>
    </row>
    <row r="35">
      <c r="A35" s="146" t="inlineStr">
        <is>
          <t xml:space="preserve">Fiorito</t>
        </is>
      </c>
      <c r="B35" s="147" t="inlineStr">
        <is>
          <t xml:space="preserve">HELADO X BOCHA</t>
        </is>
      </c>
      <c r="C35" s="147" t="inlineStr">
        <is>
          <t xml:space="preserve">TACITA 3 BOCHAS</t>
        </is>
      </c>
      <c r="D35" s="85">
        <v>1</v>
      </c>
      <c r="E35" s="86">
        <v>0.24</v>
      </c>
      <c r="F35" s="83">
        <v>3900</v>
      </c>
      <c r="H35" s="178" t="inlineStr">
        <is>
          <t xml:space="preserve">CUPS BLACK X 3</t>
        </is>
      </c>
      <c r="I35" s="104">
        <f>SUMIFS($D$5:$D$211,$A$5:$A$211,"Fiorito",$C$5:$C$211,H35)</f>
        <v>8</v>
      </c>
      <c r="J35" s="83">
        <f>SUMIFS($F$5:$F$211,$A$5:$A$211,"Fiorito",$C$5:$C$211,H35)</f>
        <v>9600</v>
      </c>
      <c r="K35" s="179">
        <f>IF(SUMIF($A$5:$A$211,"Fiorito",$D$5:$D$211)=0,0,I35/SUMIF($A$5:$A$211,"Fiorito",$D$5:$D$211))</f>
        <v>0.020512820512820513</v>
      </c>
    </row>
    <row r="36">
      <c r="A36" s="146" t="inlineStr">
        <is>
          <t xml:space="preserve">Fiorito</t>
        </is>
      </c>
      <c r="B36" s="147" t="inlineStr">
        <is>
          <t xml:space="preserve">HELADO X BOCHA</t>
        </is>
      </c>
      <c r="C36" s="147" t="inlineStr">
        <is>
          <t xml:space="preserve">GRIDOTOY 2 B. CUCU PUQUI MUCHI</t>
        </is>
      </c>
      <c r="D36" s="85">
        <v>1</v>
      </c>
      <c r="E36" s="86">
        <v>0.16</v>
      </c>
      <c r="F36" s="83">
        <v>5000</v>
      </c>
      <c r="H36" s="168" t="inlineStr">
        <is>
          <t xml:space="preserve">PALITO BOMBON DDL X UN.</t>
        </is>
      </c>
      <c r="I36" s="169">
        <f>SUMIFS($D$5:$D$211,$A$5:$A$211,"Fiorito",$C$5:$C$211,H36)</f>
        <v>7</v>
      </c>
      <c r="J36" s="177">
        <f>SUMIFS($F$5:$F$211,$A$5:$A$211,"Fiorito",$C$5:$C$211,H36)</f>
        <v>7370</v>
      </c>
      <c r="K36" s="171">
        <f>IF(SUMIF($A$5:$A$211,"Fiorito",$D$5:$D$211)=0,0,I36/SUMIF($A$5:$A$211,"Fiorito",$D$5:$D$211))</f>
        <v>0.017948717948717947</v>
      </c>
    </row>
    <row r="37">
      <c r="A37" s="146" t="inlineStr">
        <is>
          <t xml:space="preserve">Fiorito</t>
        </is>
      </c>
      <c r="B37" s="147" t="inlineStr">
        <is>
          <t xml:space="preserve">HELADO X BOCHA</t>
        </is>
      </c>
      <c r="C37" s="147" t="inlineStr">
        <is>
          <t xml:space="preserve">BAÑO DE CHOCOLATE</t>
        </is>
      </c>
      <c r="D37" s="85">
        <v>1</v>
      </c>
      <c r="E37" s="86">
        <v>0</v>
      </c>
      <c r="F37" s="83">
        <v>700</v>
      </c>
      <c r="H37" s="178" t="inlineStr">
        <is>
          <t xml:space="preserve">FRAMBUESAS DOBLE CHOCOLATE - GRIDO</t>
        </is>
      </c>
      <c r="I37" s="104">
        <f>SUMIFS($D$5:$D$211,$A$5:$A$211,"Fiorito",$C$5:$C$211,H37)</f>
        <v>7</v>
      </c>
      <c r="J37" s="83">
        <f>SUMIFS($F$5:$F$211,$A$5:$A$211,"Fiorito",$C$5:$C$211,H37)</f>
        <v>39200</v>
      </c>
      <c r="K37" s="179">
        <f>IF(SUMIF($A$5:$A$211,"Fiorito",$D$5:$D$211)=0,0,I37/SUMIF($A$5:$A$211,"Fiorito",$D$5:$D$211))</f>
        <v>0.017948717948717947</v>
      </c>
    </row>
    <row r="38">
      <c r="A38" s="146" t="inlineStr">
        <is>
          <t xml:space="preserve">Fiorito</t>
        </is>
      </c>
      <c r="B38" s="147" t="inlineStr">
        <is>
          <t xml:space="preserve">HELADO X BOCHA</t>
        </is>
      </c>
      <c r="C38" s="147" t="inlineStr">
        <is>
          <t xml:space="preserve">GRIDOTOY 1 B.TACITA PUQUI MUCHI</t>
        </is>
      </c>
      <c r="D38" s="85">
        <v>1</v>
      </c>
      <c r="E38" s="86">
        <v>0.08</v>
      </c>
      <c r="F38" s="83">
        <v>4400</v>
      </c>
    </row>
    <row r="39">
      <c r="A39" s="146" t="inlineStr">
        <is>
          <t xml:space="preserve">Fiorito</t>
        </is>
      </c>
      <c r="B39" s="147" t="inlineStr">
        <is>
          <t xml:space="preserve">HELADO X BOCHA</t>
        </is>
      </c>
      <c r="C39" s="147" t="inlineStr">
        <is>
          <t xml:space="preserve">GRIDOTOY 1 B. CUCU. PUQUI MUCHI</t>
        </is>
      </c>
      <c r="D39" s="85">
        <v>1</v>
      </c>
      <c r="E39" s="86">
        <v>0.08</v>
      </c>
      <c r="F39" s="83">
        <v>4400</v>
      </c>
    </row>
    <row r="40">
      <c r="A40" s="146" t="inlineStr">
        <is>
          <t xml:space="preserve">Fiorito</t>
        </is>
      </c>
      <c r="B40" s="147" t="inlineStr">
        <is>
          <t xml:space="preserve">LINEAS ESPECIALES</t>
        </is>
      </c>
      <c r="C40" s="147" t="inlineStr">
        <is>
          <t xml:space="preserve">HEL. "DUL. EQUI. FRUTI" 80 GR XU.</t>
        </is>
      </c>
      <c r="D40" s="85">
        <v>2</v>
      </c>
      <c r="E40" s="86">
        <v>0.16</v>
      </c>
      <c r="F40" s="83">
        <v>6200</v>
      </c>
    </row>
    <row r="41">
      <c r="A41" s="146" t="inlineStr">
        <is>
          <t xml:space="preserve">Fiorito</t>
        </is>
      </c>
      <c r="B41" s="147" t="inlineStr">
        <is>
          <t xml:space="preserve">LINEAS ESPECIALES</t>
        </is>
      </c>
      <c r="C41" s="147" t="inlineStr">
        <is>
          <t xml:space="preserve">HEL. "DUL. EQUI. CHOCO" 80 GR XU.</t>
        </is>
      </c>
      <c r="D41" s="85">
        <v>1</v>
      </c>
      <c r="E41" s="86">
        <v>0.08</v>
      </c>
      <c r="F41" s="83">
        <v>3100</v>
      </c>
    </row>
    <row r="42">
      <c r="A42" s="146" t="inlineStr">
        <is>
          <t xml:space="preserve">Fiorito</t>
        </is>
      </c>
      <c r="B42" s="147" t="inlineStr">
        <is>
          <t xml:space="preserve">PALITOS</t>
        </is>
      </c>
      <c r="C42" s="147" t="inlineStr">
        <is>
          <t xml:space="preserve">PALITO FRUTAL FRUTILLA X UNIDAD</t>
        </is>
      </c>
      <c r="D42" s="85">
        <v>9</v>
      </c>
      <c r="E42" s="86">
        <v>0.495</v>
      </c>
      <c r="F42" s="83">
        <v>7200</v>
      </c>
    </row>
    <row r="43">
      <c r="A43" s="146" t="inlineStr">
        <is>
          <t xml:space="preserve">Fiorito</t>
        </is>
      </c>
      <c r="B43" s="147" t="inlineStr">
        <is>
          <t xml:space="preserve">PALITOS</t>
        </is>
      </c>
      <c r="C43" s="147" t="inlineStr">
        <is>
          <t xml:space="preserve">PALITO BOMBÓN X10 UN.</t>
        </is>
      </c>
      <c r="D43" s="85">
        <v>9</v>
      </c>
      <c r="E43" s="86">
        <v>4.5</v>
      </c>
      <c r="F43" s="83">
        <v>67900</v>
      </c>
    </row>
    <row r="44">
      <c r="A44" s="146" t="inlineStr">
        <is>
          <t xml:space="preserve">Fiorito</t>
        </is>
      </c>
      <c r="B44" s="147" t="inlineStr">
        <is>
          <t xml:space="preserve">PALITOS</t>
        </is>
      </c>
      <c r="C44" s="147" t="inlineStr">
        <is>
          <t xml:space="preserve">PALITO BOMBON DDL X UN.</t>
        </is>
      </c>
      <c r="D44" s="85">
        <v>7</v>
      </c>
      <c r="E44" s="86">
        <v>0.35</v>
      </c>
      <c r="F44" s="83">
        <v>7370</v>
      </c>
    </row>
    <row r="45">
      <c r="A45" s="146" t="inlineStr">
        <is>
          <t xml:space="preserve">Fiorito</t>
        </is>
      </c>
      <c r="B45" s="147" t="inlineStr">
        <is>
          <t xml:space="preserve">PALITOS</t>
        </is>
      </c>
      <c r="C45" s="147" t="inlineStr">
        <is>
          <t xml:space="preserve">P.CREM.FRUTILLA X UNIDAD</t>
        </is>
      </c>
      <c r="D45" s="85">
        <v>6</v>
      </c>
      <c r="E45" s="86">
        <v>0.24</v>
      </c>
      <c r="F45" s="83">
        <v>5400</v>
      </c>
    </row>
    <row r="46">
      <c r="A46" s="146" t="inlineStr">
        <is>
          <t xml:space="preserve">Fiorito</t>
        </is>
      </c>
      <c r="B46" s="147" t="inlineStr">
        <is>
          <t xml:space="preserve">PALITOS</t>
        </is>
      </c>
      <c r="C46" s="147" t="inlineStr">
        <is>
          <t xml:space="preserve">PALITO BOMBÓN DDL X 10</t>
        </is>
      </c>
      <c r="D46" s="85">
        <v>4</v>
      </c>
      <c r="E46" s="86">
        <v>2</v>
      </c>
      <c r="F46" s="83">
        <v>27010</v>
      </c>
    </row>
    <row r="47">
      <c r="A47" s="146" t="inlineStr">
        <is>
          <t xml:space="preserve">Fiorito</t>
        </is>
      </c>
      <c r="B47" s="147" t="inlineStr">
        <is>
          <t xml:space="preserve">PALITOS</t>
        </is>
      </c>
      <c r="C47" s="147" t="inlineStr">
        <is>
          <t xml:space="preserve">PALITO BOMBON X UNIDAD</t>
        </is>
      </c>
      <c r="D47" s="85">
        <v>4</v>
      </c>
      <c r="E47" s="86">
        <v>0.2</v>
      </c>
      <c r="F47" s="83">
        <v>4400</v>
      </c>
    </row>
    <row r="48" ht="22" customHeight="1">
      <c r="A48" s="146" t="inlineStr">
        <is>
          <t xml:space="preserve">Fiorito</t>
        </is>
      </c>
      <c r="B48" s="147" t="inlineStr">
        <is>
          <t xml:space="preserve">PALITOS</t>
        </is>
      </c>
      <c r="C48" s="147" t="inlineStr">
        <is>
          <t xml:space="preserve">PALITO CREMOSO AMERICANA X10 U.</t>
        </is>
      </c>
      <c r="D48" s="85">
        <v>3</v>
      </c>
      <c r="E48" s="86">
        <v>1.23</v>
      </c>
      <c r="F48" s="83">
        <v>17400</v>
      </c>
      <c r="H48" s="180" t="inlineStr">
        <is>
          <t xml:space="preserve">TOP 10 PRODUCTOS POR CANTIDAD  ·  ESCALADA</t>
        </is>
      </c>
      <c r="I48" s="180"/>
      <c r="J48" s="180"/>
      <c r="K48" s="180"/>
    </row>
    <row r="49" ht="30" customHeight="1">
      <c r="A49" s="146" t="inlineStr">
        <is>
          <t xml:space="preserve">Fiorito</t>
        </is>
      </c>
      <c r="B49" s="147" t="inlineStr">
        <is>
          <t xml:space="preserve">PALITOS</t>
        </is>
      </c>
      <c r="C49" s="147" t="inlineStr">
        <is>
          <t xml:space="preserve">PALITO FRUTAL NARANJA X UNIDAD</t>
        </is>
      </c>
      <c r="D49" s="85">
        <v>3</v>
      </c>
      <c r="E49" s="86">
        <v>0.165</v>
      </c>
      <c r="F49" s="83">
        <v>2400</v>
      </c>
      <c r="H49" s="166" t="inlineStr">
        <is>
          <t xml:space="preserve">Producto</t>
        </is>
      </c>
      <c r="I49" s="166" t="inlineStr">
        <is>
          <t xml:space="preserve">Cantidad</t>
        </is>
      </c>
      <c r="J49" s="166" t="inlineStr">
        <is>
          <t xml:space="preserve">Venta</t>
        </is>
      </c>
      <c r="K49" s="166" t="inlineStr">
        <is>
          <t xml:space="preserve">% de las unidades</t>
        </is>
      </c>
    </row>
    <row r="50">
      <c r="A50" s="146" t="inlineStr">
        <is>
          <t xml:space="preserve">Fiorito</t>
        </is>
      </c>
      <c r="B50" s="147" t="inlineStr">
        <is>
          <t xml:space="preserve">PALITOS</t>
        </is>
      </c>
      <c r="C50" s="147" t="inlineStr">
        <is>
          <t xml:space="preserve">PALITO FRUTAL NARANJA X10 U.</t>
        </is>
      </c>
      <c r="D50" s="85">
        <v>2</v>
      </c>
      <c r="E50" s="86">
        <v>1.1</v>
      </c>
      <c r="F50" s="83">
        <v>10600</v>
      </c>
      <c r="H50" s="168" t="inlineStr">
        <is>
          <t xml:space="preserve">1 KILO</t>
        </is>
      </c>
      <c r="I50" s="169">
        <f>SUMIFS($D$5:$D$211,$A$5:$A$211,"Escalada",$C$5:$C$211,H50)</f>
        <v>23</v>
      </c>
      <c r="J50" s="177">
        <f>SUMIFS($F$5:$F$211,$A$5:$A$211,"Escalada",$C$5:$C$211,H50)</f>
        <v>419250</v>
      </c>
      <c r="K50" s="171">
        <f>IF(SUMIF($A$5:$A$211,"Escalada",$D$5:$D$211)=0,0,I50/SUMIF($A$5:$A$211,"Escalada",$D$5:$D$211))</f>
        <v>0.091269841269841265</v>
      </c>
    </row>
    <row r="51">
      <c r="A51" s="146" t="inlineStr">
        <is>
          <t xml:space="preserve">Fiorito</t>
        </is>
      </c>
      <c r="B51" s="147" t="inlineStr">
        <is>
          <t xml:space="preserve">PALITOS</t>
        </is>
      </c>
      <c r="C51" s="147" t="inlineStr">
        <is>
          <t xml:space="preserve">P.FRUT.FRUTILLA EN CAJA X 20</t>
        </is>
      </c>
      <c r="D51" s="85">
        <v>2</v>
      </c>
      <c r="E51" s="86">
        <v>2.2</v>
      </c>
      <c r="F51" s="83">
        <v>21000</v>
      </c>
      <c r="H51" s="181" t="inlineStr">
        <is>
          <t xml:space="preserve">1/2  KILO</t>
        </is>
      </c>
      <c r="I51" s="109">
        <f>SUMIFS($D$5:$D$211,$A$5:$A$211,"Escalada",$C$5:$C$211,H51)</f>
        <v>17</v>
      </c>
      <c r="J51" s="88">
        <f>SUMIFS($F$5:$F$211,$A$5:$A$211,"Escalada",$C$5:$C$211,H51)</f>
        <v>166550</v>
      </c>
      <c r="K51" s="182">
        <f>IF(SUMIF($A$5:$A$211,"Escalada",$D$5:$D$211)=0,0,I51/SUMIF($A$5:$A$211,"Escalada",$D$5:$D$211))</f>
        <v>0.067460317460317457</v>
      </c>
    </row>
    <row r="52">
      <c r="A52" s="146" t="inlineStr">
        <is>
          <t xml:space="preserve">Fiorito</t>
        </is>
      </c>
      <c r="B52" s="147" t="inlineStr">
        <is>
          <t xml:space="preserve">PALITOS</t>
        </is>
      </c>
      <c r="C52" s="147" t="inlineStr">
        <is>
          <t xml:space="preserve">PALITO FRUTAL LIMON X UNIDAD</t>
        </is>
      </c>
      <c r="D52" s="85">
        <v>2</v>
      </c>
      <c r="E52" s="86">
        <v>0.11</v>
      </c>
      <c r="F52" s="83">
        <v>1600</v>
      </c>
      <c r="H52" s="168" t="inlineStr">
        <is>
          <t xml:space="preserve">GIGANTE 2 BOCHAS</t>
        </is>
      </c>
      <c r="I52" s="169">
        <f>SUMIFS($D$5:$D$211,$A$5:$A$211,"Escalada",$C$5:$C$211,H52)</f>
        <v>14</v>
      </c>
      <c r="J52" s="177">
        <f>SUMIFS($F$5:$F$211,$A$5:$A$211,"Escalada",$C$5:$C$211,H52)</f>
        <v>42000</v>
      </c>
      <c r="K52" s="171">
        <f>IF(SUMIF($A$5:$A$211,"Escalada",$D$5:$D$211)=0,0,I52/SUMIF($A$5:$A$211,"Escalada",$D$5:$D$211))</f>
        <v>0.055555555555555552</v>
      </c>
    </row>
    <row r="53">
      <c r="A53" s="146" t="inlineStr">
        <is>
          <t xml:space="preserve">Fiorito</t>
        </is>
      </c>
      <c r="B53" s="147" t="inlineStr">
        <is>
          <t xml:space="preserve">PALITOS</t>
        </is>
      </c>
      <c r="C53" s="147" t="inlineStr">
        <is>
          <t xml:space="preserve">PALITO CREMOSO FRUTILLA X10 U.</t>
        </is>
      </c>
      <c r="D53" s="85">
        <v>2</v>
      </c>
      <c r="E53" s="86">
        <v>0.82</v>
      </c>
      <c r="F53" s="83">
        <v>11600</v>
      </c>
      <c r="H53" s="181" t="inlineStr">
        <is>
          <t xml:space="preserve">1/4  KILO</t>
        </is>
      </c>
      <c r="I53" s="109">
        <f>SUMIFS($D$5:$D$211,$A$5:$A$211,"Escalada",$C$5:$C$211,H53)</f>
        <v>12</v>
      </c>
      <c r="J53" s="88">
        <f>SUMIFS($F$5:$F$211,$A$5:$A$211,"Escalada",$C$5:$C$211,H53)</f>
        <v>78850</v>
      </c>
      <c r="K53" s="182">
        <f>IF(SUMIF($A$5:$A$211,"Escalada",$D$5:$D$211)=0,0,I53/SUMIF($A$5:$A$211,"Escalada",$D$5:$D$211))</f>
        <v>0.047619047619047616</v>
      </c>
    </row>
    <row r="54">
      <c r="A54" s="146" t="inlineStr">
        <is>
          <t xml:space="preserve">Fiorito</t>
        </is>
      </c>
      <c r="B54" s="147" t="inlineStr">
        <is>
          <t xml:space="preserve">PALITOS</t>
        </is>
      </c>
      <c r="C54" s="147" t="inlineStr">
        <is>
          <t xml:space="preserve">P.CREM.AMERICANA X UNIDAD</t>
        </is>
      </c>
      <c r="D54" s="85">
        <v>1</v>
      </c>
      <c r="E54" s="86">
        <v>0.04</v>
      </c>
      <c r="F54" s="83">
        <v>900</v>
      </c>
      <c r="H54" s="168" t="inlineStr">
        <is>
          <t xml:space="preserve">FRAMBUESAS DOBLE CHOCOLATE - GRIDO</t>
        </is>
      </c>
      <c r="I54" s="169">
        <f>SUMIFS($D$5:$D$211,$A$5:$A$211,"Escalada",$C$5:$C$211,H54)</f>
        <v>11</v>
      </c>
      <c r="J54" s="177">
        <f>SUMIFS($F$5:$F$211,$A$5:$A$211,"Escalada",$C$5:$C$211,H54)</f>
        <v>64400</v>
      </c>
      <c r="K54" s="171">
        <f>IF(SUMIF($A$5:$A$211,"Escalada",$D$5:$D$211)=0,0,I54/SUMIF($A$5:$A$211,"Escalada",$D$5:$D$211))</f>
        <v>0.043650793650793648</v>
      </c>
    </row>
    <row r="55">
      <c r="A55" s="146" t="inlineStr">
        <is>
          <t xml:space="preserve">Fiorito</t>
        </is>
      </c>
      <c r="B55" s="147" t="inlineStr">
        <is>
          <t xml:space="preserve">POSTRES</t>
        </is>
      </c>
      <c r="C55" s="147" t="inlineStr">
        <is>
          <t xml:space="preserve">BOMBON FRUTEZZA XU.</t>
        </is>
      </c>
      <c r="D55" s="85">
        <v>6</v>
      </c>
      <c r="E55" s="86">
        <v>0.444</v>
      </c>
      <c r="F55" s="83">
        <v>12000</v>
      </c>
      <c r="H55" s="181" t="inlineStr">
        <is>
          <t xml:space="preserve">BOMBON ESCOCES EN CAJA X 8</t>
        </is>
      </c>
      <c r="I55" s="109">
        <f>SUMIFS($D$5:$D$211,$A$5:$A$211,"Escalada",$C$5:$C$211,H55)</f>
        <v>10</v>
      </c>
      <c r="J55" s="88">
        <f>SUMIFS($F$5:$F$211,$A$5:$A$211,"Escalada",$C$5:$C$211,H55)</f>
        <v>152000</v>
      </c>
      <c r="K55" s="182">
        <f>IF(SUMIF($A$5:$A$211,"Escalada",$D$5:$D$211)=0,0,I55/SUMIF($A$5:$A$211,"Escalada",$D$5:$D$211))</f>
        <v>0.03968253968253968</v>
      </c>
    </row>
    <row r="56">
      <c r="A56" s="146" t="inlineStr">
        <is>
          <t xml:space="preserve">Fiorito</t>
        </is>
      </c>
      <c r="B56" s="147" t="inlineStr">
        <is>
          <t xml:space="preserve">POSTRES</t>
        </is>
      </c>
      <c r="C56" s="147" t="inlineStr">
        <is>
          <t xml:space="preserve">BOMBON ESCOCES X UNIDAD</t>
        </is>
      </c>
      <c r="D56" s="85">
        <v>5</v>
      </c>
      <c r="E56" s="86">
        <v>0.45</v>
      </c>
      <c r="F56" s="83">
        <v>12000</v>
      </c>
      <c r="H56" s="168" t="inlineStr">
        <is>
          <t xml:space="preserve">TORTA GRIDO RELLENA</t>
        </is>
      </c>
      <c r="I56" s="169">
        <f>SUMIFS($D$5:$D$211,$A$5:$A$211,"Escalada",$C$5:$C$211,H56)</f>
        <v>9</v>
      </c>
      <c r="J56" s="177">
        <f>SUMIFS($F$5:$F$211,$A$5:$A$211,"Escalada",$C$5:$C$211,H56)</f>
        <v>159500</v>
      </c>
      <c r="K56" s="171">
        <f>IF(SUMIF($A$5:$A$211,"Escalada",$D$5:$D$211)=0,0,I56/SUMIF($A$5:$A$211,"Escalada",$D$5:$D$211))</f>
        <v>0.035714285714285712</v>
      </c>
    </row>
    <row r="57">
      <c r="A57" s="146" t="inlineStr">
        <is>
          <t xml:space="preserve">Fiorito</t>
        </is>
      </c>
      <c r="B57" s="147" t="inlineStr">
        <is>
          <t xml:space="preserve">POSTRES</t>
        </is>
      </c>
      <c r="C57" s="147" t="inlineStr">
        <is>
          <t xml:space="preserve">BOMBÓN CHOCO AVELLANAS X UN</t>
        </is>
      </c>
      <c r="D57" s="85">
        <v>5</v>
      </c>
      <c r="E57" s="86">
        <v>0.4</v>
      </c>
      <c r="F57" s="83">
        <v>12000</v>
      </c>
      <c r="H57" s="181" t="inlineStr">
        <is>
          <t xml:space="preserve">PALITO BOMBON X UNIDAD</t>
        </is>
      </c>
      <c r="I57" s="109">
        <f>SUMIFS($D$5:$D$211,$A$5:$A$211,"Escalada",$C$5:$C$211,H57)</f>
        <v>9</v>
      </c>
      <c r="J57" s="88">
        <f>SUMIFS($F$5:$F$211,$A$5:$A$211,"Escalada",$C$5:$C$211,H57)</f>
        <v>9900</v>
      </c>
      <c r="K57" s="182">
        <f>IF(SUMIF($A$5:$A$211,"Escalada",$D$5:$D$211)=0,0,I57/SUMIF($A$5:$A$211,"Escalada",$D$5:$D$211))</f>
        <v>0.035714285714285712</v>
      </c>
    </row>
    <row r="58">
      <c r="A58" s="146" t="inlineStr">
        <is>
          <t xml:space="preserve">Fiorito</t>
        </is>
      </c>
      <c r="B58" s="147" t="inlineStr">
        <is>
          <t xml:space="preserve">POSTRES</t>
        </is>
      </c>
      <c r="C58" s="147" t="inlineStr">
        <is>
          <t xml:space="preserve">BOMBON ESCOCES EN CAJA X 8</t>
        </is>
      </c>
      <c r="D58" s="85">
        <v>4</v>
      </c>
      <c r="E58" s="86">
        <v>2.88</v>
      </c>
      <c r="F58" s="83">
        <v>57200</v>
      </c>
      <c r="H58" s="168" t="inlineStr">
        <is>
          <t xml:space="preserve">BOMBON FRUTEZZA XU.</t>
        </is>
      </c>
      <c r="I58" s="169">
        <f>SUMIFS($D$5:$D$211,$A$5:$A$211,"Escalada",$C$5:$C$211,H58)</f>
        <v>8</v>
      </c>
      <c r="J58" s="177">
        <f>SUMIFS($F$5:$F$211,$A$5:$A$211,"Escalada",$C$5:$C$211,H58)</f>
        <v>16800</v>
      </c>
      <c r="K58" s="171">
        <f>IF(SUMIF($A$5:$A$211,"Escalada",$D$5:$D$211)=0,0,I58/SUMIF($A$5:$A$211,"Escalada",$D$5:$D$211))</f>
        <v>0.031746031746031744</v>
      </c>
    </row>
    <row r="59">
      <c r="A59" s="146" t="inlineStr">
        <is>
          <t xml:space="preserve">Fiorito</t>
        </is>
      </c>
      <c r="B59" s="147" t="inlineStr">
        <is>
          <t xml:space="preserve">POSTRES</t>
        </is>
      </c>
      <c r="C59" s="147" t="inlineStr">
        <is>
          <t xml:space="preserve">CROCANTINO</t>
        </is>
      </c>
      <c r="D59" s="85">
        <v>4</v>
      </c>
      <c r="E59" s="86">
        <v>2.6</v>
      </c>
      <c r="F59" s="83">
        <v>44500</v>
      </c>
      <c r="H59" s="181" t="inlineStr">
        <is>
          <t xml:space="preserve">PALITO BOMBÓN X10 UN.</t>
        </is>
      </c>
      <c r="I59" s="109">
        <f>SUMIFS($D$5:$D$211,$A$5:$A$211,"Escalada",$C$5:$C$211,H59)</f>
        <v>7</v>
      </c>
      <c r="J59" s="88">
        <f>SUMIFS($F$5:$F$211,$A$5:$A$211,"Escalada",$C$5:$C$211,H59)</f>
        <v>54400</v>
      </c>
      <c r="K59" s="182">
        <f>IF(SUMIF($A$5:$A$211,"Escalada",$D$5:$D$211)=0,0,I59/SUMIF($A$5:$A$211,"Escalada",$D$5:$D$211))</f>
        <v>0.027777777777777776</v>
      </c>
    </row>
    <row r="60">
      <c r="A60" s="146" t="inlineStr">
        <is>
          <t xml:space="preserve">Fiorito</t>
        </is>
      </c>
      <c r="B60" s="147" t="inlineStr">
        <is>
          <t xml:space="preserve">POSTRES</t>
        </is>
      </c>
      <c r="C60" s="147" t="inlineStr">
        <is>
          <t xml:space="preserve">BOMBON FRUTEZZA X8U.</t>
        </is>
      </c>
      <c r="D60" s="85">
        <v>3</v>
      </c>
      <c r="E60" s="86">
        <v>1.776</v>
      </c>
      <c r="F60" s="83">
        <v>39900</v>
      </c>
    </row>
    <row r="61">
      <c r="A61" s="146" t="inlineStr">
        <is>
          <t xml:space="preserve">Fiorito</t>
        </is>
      </c>
      <c r="B61" s="147" t="inlineStr">
        <is>
          <t xml:space="preserve">POSTRES</t>
        </is>
      </c>
      <c r="C61" s="147" t="inlineStr">
        <is>
          <t xml:space="preserve">BOMBÓN CHOCO AVELLANAS CAJA X 8</t>
        </is>
      </c>
      <c r="D61" s="85">
        <v>3</v>
      </c>
      <c r="E61" s="86">
        <v>1.92</v>
      </c>
      <c r="F61" s="83">
        <v>42900</v>
      </c>
    </row>
    <row r="62">
      <c r="A62" s="146" t="inlineStr">
        <is>
          <t xml:space="preserve">Fiorito</t>
        </is>
      </c>
      <c r="B62" s="147" t="inlineStr">
        <is>
          <t xml:space="preserve">POSTRES</t>
        </is>
      </c>
      <c r="C62" s="147" t="inlineStr">
        <is>
          <t xml:space="preserve">ALMENDRADO EN CAJA X 8</t>
        </is>
      </c>
      <c r="D62" s="85">
        <v>3</v>
      </c>
      <c r="E62" s="86">
        <v>2.04</v>
      </c>
      <c r="F62" s="83">
        <v>32100</v>
      </c>
    </row>
    <row r="63">
      <c r="A63" s="146" t="inlineStr">
        <is>
          <t xml:space="preserve">Fiorito</t>
        </is>
      </c>
      <c r="B63" s="147" t="inlineStr">
        <is>
          <t xml:space="preserve">POSTRES</t>
        </is>
      </c>
      <c r="C63" s="147" t="inlineStr">
        <is>
          <t xml:space="preserve">BOMBON SUIZO X UNIDAD</t>
        </is>
      </c>
      <c r="D63" s="85">
        <v>2</v>
      </c>
      <c r="E63" s="86">
        <v>0.17</v>
      </c>
      <c r="F63" s="83">
        <v>4600</v>
      </c>
    </row>
    <row r="64">
      <c r="A64" s="146" t="inlineStr">
        <is>
          <t xml:space="preserve">Fiorito</t>
        </is>
      </c>
      <c r="B64" s="147" t="inlineStr">
        <is>
          <t xml:space="preserve">POSTRES</t>
        </is>
      </c>
      <c r="C64" s="147" t="inlineStr">
        <is>
          <t xml:space="preserve">BOMBON CROCANTE EN CAJA X 8</t>
        </is>
      </c>
      <c r="D64" s="85">
        <v>2</v>
      </c>
      <c r="E64" s="86">
        <v>1.12</v>
      </c>
      <c r="F64" s="83">
        <v>19950</v>
      </c>
    </row>
    <row r="65">
      <c r="A65" s="146" t="inlineStr">
        <is>
          <t xml:space="preserve">Fiorito</t>
        </is>
      </c>
      <c r="B65" s="147" t="inlineStr">
        <is>
          <t xml:space="preserve">POSTRES</t>
        </is>
      </c>
      <c r="C65" s="147" t="inlineStr">
        <is>
          <t xml:space="preserve">BOMBON SUIZO EN CAJA X 8</t>
        </is>
      </c>
      <c r="D65" s="85">
        <v>1</v>
      </c>
      <c r="E65" s="86">
        <v>0.68</v>
      </c>
      <c r="F65" s="83">
        <v>13800</v>
      </c>
    </row>
    <row r="66">
      <c r="A66" s="146" t="inlineStr">
        <is>
          <t xml:space="preserve">Fiorito</t>
        </is>
      </c>
      <c r="B66" s="147" t="inlineStr">
        <is>
          <t xml:space="preserve">POSTRES</t>
        </is>
      </c>
      <c r="C66" s="147" t="inlineStr">
        <is>
          <t xml:space="preserve">CASATTA EN CAJA X 8</t>
        </is>
      </c>
      <c r="D66" s="85">
        <v>1</v>
      </c>
      <c r="E66" s="86">
        <v>0.6</v>
      </c>
      <c r="F66" s="83">
        <v>10700</v>
      </c>
    </row>
    <row r="67">
      <c r="A67" s="146" t="inlineStr">
        <is>
          <t xml:space="preserve">Fiorito</t>
        </is>
      </c>
      <c r="B67" s="147" t="inlineStr">
        <is>
          <t xml:space="preserve">POSTRES</t>
        </is>
      </c>
      <c r="C67" s="147" t="inlineStr">
        <is>
          <t xml:space="preserve">BARRA DELICIA CHOCOLATE Y MANI</t>
        </is>
      </c>
      <c r="D67" s="85">
        <v>1</v>
      </c>
      <c r="E67" s="86">
        <v>0.6</v>
      </c>
      <c r="F67" s="83">
        <v>10700</v>
      </c>
    </row>
    <row r="68">
      <c r="A68" s="146" t="inlineStr">
        <is>
          <t xml:space="preserve">Fiorito</t>
        </is>
      </c>
      <c r="B68" s="147" t="inlineStr">
        <is>
          <t xml:space="preserve">SALSAS</t>
        </is>
      </c>
      <c r="C68" s="147" t="inlineStr">
        <is>
          <t xml:space="preserve">SALSA FRUTILLA X 500</t>
        </is>
      </c>
      <c r="D68" s="85">
        <v>1</v>
      </c>
      <c r="E68" s="86">
        <v>0</v>
      </c>
      <c r="F68" s="83">
        <v>6000</v>
      </c>
    </row>
    <row r="69">
      <c r="A69" s="146" t="inlineStr">
        <is>
          <t xml:space="preserve">Fiorito</t>
        </is>
      </c>
      <c r="B69" s="147" t="inlineStr">
        <is>
          <t xml:space="preserve">TENTACION</t>
        </is>
      </c>
      <c r="C69" s="147" t="inlineStr">
        <is>
          <t xml:space="preserve">TODDY GALLETITAS</t>
        </is>
      </c>
      <c r="D69" s="85">
        <v>4</v>
      </c>
      <c r="E69" s="86">
        <v>2.76</v>
      </c>
      <c r="F69" s="83">
        <v>35200</v>
      </c>
    </row>
    <row r="70" ht="22" customHeight="1">
      <c r="A70" s="146" t="inlineStr">
        <is>
          <t xml:space="preserve">Fiorito</t>
        </is>
      </c>
      <c r="B70" s="147" t="inlineStr">
        <is>
          <t xml:space="preserve">TENTACION</t>
        </is>
      </c>
      <c r="C70" s="147" t="inlineStr">
        <is>
          <t xml:space="preserve">T. CHOC.ALMENDRAS</t>
        </is>
      </c>
      <c r="D70" s="85">
        <v>4</v>
      </c>
      <c r="E70" s="86">
        <v>2.76</v>
      </c>
      <c r="F70" s="83">
        <v>35200</v>
      </c>
      <c r="H70" s="183" t="inlineStr">
        <is>
          <t xml:space="preserve">TOP 10 PRODUCTOS POR CANTIDAD  ·  LANUS OESTE</t>
        </is>
      </c>
      <c r="I70" s="183"/>
      <c r="J70" s="183"/>
      <c r="K70" s="183"/>
    </row>
    <row r="71" ht="30" customHeight="1">
      <c r="A71" s="146" t="inlineStr">
        <is>
          <t xml:space="preserve">Fiorito</t>
        </is>
      </c>
      <c r="B71" s="147" t="inlineStr">
        <is>
          <t xml:space="preserve">TENTACION</t>
        </is>
      </c>
      <c r="C71" s="147" t="inlineStr">
        <is>
          <t xml:space="preserve">T.1 LT DDL GRANIZADO</t>
        </is>
      </c>
      <c r="D71" s="85">
        <v>3</v>
      </c>
      <c r="E71" s="86">
        <v>2.07</v>
      </c>
      <c r="F71" s="83">
        <v>26400</v>
      </c>
      <c r="H71" s="167" t="inlineStr">
        <is>
          <t xml:space="preserve">Producto</t>
        </is>
      </c>
      <c r="I71" s="167" t="inlineStr">
        <is>
          <t xml:space="preserve">Cantidad</t>
        </is>
      </c>
      <c r="J71" s="167" t="inlineStr">
        <is>
          <t xml:space="preserve">Venta</t>
        </is>
      </c>
      <c r="K71" s="167" t="inlineStr">
        <is>
          <t xml:space="preserve">% de las unidades</t>
        </is>
      </c>
    </row>
    <row r="72">
      <c r="A72" s="146" t="inlineStr">
        <is>
          <t xml:space="preserve">Fiorito</t>
        </is>
      </c>
      <c r="B72" s="147" t="inlineStr">
        <is>
          <t xml:space="preserve">TENTACION</t>
        </is>
      </c>
      <c r="C72" s="147" t="inlineStr">
        <is>
          <t xml:space="preserve">T. MENTA GRANIZADA</t>
        </is>
      </c>
      <c r="D72" s="85">
        <v>2</v>
      </c>
      <c r="E72" s="86">
        <v>1.38</v>
      </c>
      <c r="F72" s="83">
        <v>20100</v>
      </c>
      <c r="H72" s="168" t="inlineStr">
        <is>
          <t xml:space="preserve">1 KILO</t>
        </is>
      </c>
      <c r="I72" s="169">
        <f>SUMIFS($D$5:$D$211,$A$5:$A$211,"Lanus Oeste",$C$5:$C$211,H72)</f>
        <v>41</v>
      </c>
      <c r="J72" s="177">
        <f>SUMIFS($F$5:$F$211,$A$5:$A$211,"Lanus Oeste",$C$5:$C$211,H72)</f>
        <v>655720</v>
      </c>
      <c r="K72" s="171">
        <f>IF(SUMIF($A$5:$A$211,"Lanus Oeste",$D$5:$D$211)=0,0,I72/SUMIF($A$5:$A$211,"Lanus Oeste",$D$5:$D$211))</f>
        <v>0.12654320987654322</v>
      </c>
    </row>
    <row r="73">
      <c r="A73" s="146" t="inlineStr">
        <is>
          <t xml:space="preserve">Fiorito</t>
        </is>
      </c>
      <c r="B73" s="147" t="inlineStr">
        <is>
          <t xml:space="preserve">TENTACION</t>
        </is>
      </c>
      <c r="C73" s="147" t="inlineStr">
        <is>
          <t xml:space="preserve">T.1 LT FRUTILLA</t>
        </is>
      </c>
      <c r="D73" s="85">
        <v>2</v>
      </c>
      <c r="E73" s="86">
        <v>1.38</v>
      </c>
      <c r="F73" s="83">
        <v>17600</v>
      </c>
      <c r="H73" s="184" t="inlineStr">
        <is>
          <t xml:space="preserve">1/4  KILO</t>
        </is>
      </c>
      <c r="I73" s="114">
        <f>SUMIFS($D$5:$D$211,$A$5:$A$211,"Lanus Oeste",$C$5:$C$211,H73)</f>
        <v>33</v>
      </c>
      <c r="J73" s="93">
        <f>SUMIFS($F$5:$F$211,$A$5:$A$211,"Lanus Oeste",$C$5:$C$211,H73)</f>
        <v>180400.03</v>
      </c>
      <c r="K73" s="185">
        <f>IF(SUMIF($A$5:$A$211,"Lanus Oeste",$D$5:$D$211)=0,0,I73/SUMIF($A$5:$A$211,"Lanus Oeste",$D$5:$D$211))</f>
        <v>0.10185185185185185</v>
      </c>
    </row>
    <row r="74">
      <c r="A74" s="146" t="inlineStr">
        <is>
          <t xml:space="preserve">Fiorito</t>
        </is>
      </c>
      <c r="B74" s="147" t="inlineStr">
        <is>
          <t xml:space="preserve">TENTACION</t>
        </is>
      </c>
      <c r="C74" s="147" t="inlineStr">
        <is>
          <t xml:space="preserve">T. COOKIE</t>
        </is>
      </c>
      <c r="D74" s="85">
        <v>2</v>
      </c>
      <c r="E74" s="86">
        <v>1.38</v>
      </c>
      <c r="F74" s="83">
        <v>17600</v>
      </c>
      <c r="H74" s="168" t="inlineStr">
        <is>
          <t xml:space="preserve">1/2  KILO</t>
        </is>
      </c>
      <c r="I74" s="169">
        <f>SUMIFS($D$5:$D$211,$A$5:$A$211,"Lanus Oeste",$C$5:$C$211,H74)</f>
        <v>21</v>
      </c>
      <c r="J74" s="177">
        <f>SUMIFS($F$5:$F$211,$A$5:$A$211,"Lanus Oeste",$C$5:$C$211,H74)</f>
        <v>167000</v>
      </c>
      <c r="K74" s="171">
        <f>IF(SUMIF($A$5:$A$211,"Lanus Oeste",$D$5:$D$211)=0,0,I74/SUMIF($A$5:$A$211,"Lanus Oeste",$D$5:$D$211))</f>
        <v>0.064814814814814811</v>
      </c>
    </row>
    <row r="75">
      <c r="A75" s="146" t="inlineStr">
        <is>
          <t xml:space="preserve">Fiorito</t>
        </is>
      </c>
      <c r="B75" s="147" t="inlineStr">
        <is>
          <t xml:space="preserve">TENTACION</t>
        </is>
      </c>
      <c r="C75" s="147" t="inlineStr">
        <is>
          <t xml:space="preserve">T.CHOCOLATE</t>
        </is>
      </c>
      <c r="D75" s="85">
        <v>1</v>
      </c>
      <c r="E75" s="86">
        <v>0.69</v>
      </c>
      <c r="F75" s="83">
        <v>8800</v>
      </c>
      <c r="H75" s="184" t="inlineStr">
        <is>
          <t xml:space="preserve">FRAMBUESAS DOBLE CHOCOLATE - GRIDO</t>
        </is>
      </c>
      <c r="I75" s="114">
        <f>SUMIFS($D$5:$D$211,$A$5:$A$211,"Lanus Oeste",$C$5:$C$211,H75)</f>
        <v>15</v>
      </c>
      <c r="J75" s="93">
        <f>SUMIFS($F$5:$F$211,$A$5:$A$211,"Lanus Oeste",$C$5:$C$211,H75)</f>
        <v>84000</v>
      </c>
      <c r="K75" s="185">
        <f>IF(SUMIF($A$5:$A$211,"Lanus Oeste",$D$5:$D$211)=0,0,I75/SUMIF($A$5:$A$211,"Lanus Oeste",$D$5:$D$211))</f>
        <v>0.046296296296296294</v>
      </c>
    </row>
    <row r="76">
      <c r="A76" s="146" t="inlineStr">
        <is>
          <t xml:space="preserve">Fiorito</t>
        </is>
      </c>
      <c r="B76" s="147" t="inlineStr">
        <is>
          <t xml:space="preserve">TENTACION</t>
        </is>
      </c>
      <c r="C76" s="147" t="inlineStr">
        <is>
          <t xml:space="preserve">T.DDLECHE</t>
        </is>
      </c>
      <c r="D76" s="85">
        <v>1</v>
      </c>
      <c r="E76" s="86">
        <v>0.69</v>
      </c>
      <c r="F76" s="83">
        <v>8800</v>
      </c>
      <c r="H76" s="168" t="inlineStr">
        <is>
          <t xml:space="preserve">PALITO BOMBÓN X10 UN.</t>
        </is>
      </c>
      <c r="I76" s="169">
        <f>SUMIFS($D$5:$D$211,$A$5:$A$211,"Lanus Oeste",$C$5:$C$211,H76)</f>
        <v>13</v>
      </c>
      <c r="J76" s="177">
        <f>SUMIFS($F$5:$F$211,$A$5:$A$211,"Lanus Oeste",$C$5:$C$211,H76)</f>
        <v>87600</v>
      </c>
      <c r="K76" s="171">
        <f>IF(SUMIF($A$5:$A$211,"Lanus Oeste",$D$5:$D$211)=0,0,I76/SUMIF($A$5:$A$211,"Lanus Oeste",$D$5:$D$211))</f>
        <v>0.040123456790123455</v>
      </c>
    </row>
    <row r="77">
      <c r="A77" s="146" t="inlineStr">
        <is>
          <t xml:space="preserve">Fiorito</t>
        </is>
      </c>
      <c r="B77" s="147" t="inlineStr">
        <is>
          <t xml:space="preserve">TENTACION</t>
        </is>
      </c>
      <c r="C77" s="147" t="inlineStr">
        <is>
          <t xml:space="preserve">T. LIMON</t>
        </is>
      </c>
      <c r="D77" s="85">
        <v>1</v>
      </c>
      <c r="E77" s="86">
        <v>0.69</v>
      </c>
      <c r="F77" s="83">
        <v>8800</v>
      </c>
      <c r="H77" s="184" t="inlineStr">
        <is>
          <t xml:space="preserve">BOMBON ESCOCES X UNIDAD</t>
        </is>
      </c>
      <c r="I77" s="114">
        <f>SUMIFS($D$5:$D$211,$A$5:$A$211,"Lanus Oeste",$C$5:$C$211,H77)</f>
        <v>12</v>
      </c>
      <c r="J77" s="93">
        <f>SUMIFS($F$5:$F$211,$A$5:$A$211,"Lanus Oeste",$C$5:$C$211,H77)</f>
        <v>28800</v>
      </c>
      <c r="K77" s="185">
        <f>IF(SUMIF($A$5:$A$211,"Lanus Oeste",$D$5:$D$211)=0,0,I77/SUMIF($A$5:$A$211,"Lanus Oeste",$D$5:$D$211))</f>
        <v>0.037037037037037035</v>
      </c>
    </row>
    <row r="78">
      <c r="A78" s="146" t="inlineStr">
        <is>
          <t xml:space="preserve">Fiorito</t>
        </is>
      </c>
      <c r="B78" s="147" t="inlineStr">
        <is>
          <t xml:space="preserve">TORTAS</t>
        </is>
      </c>
      <c r="C78" s="147" t="inlineStr">
        <is>
          <t xml:space="preserve">TORTA COOKIES AND CREAM</t>
        </is>
      </c>
      <c r="D78" s="85">
        <v>6</v>
      </c>
      <c r="E78" s="86">
        <v>6.27</v>
      </c>
      <c r="F78" s="83">
        <v>105000</v>
      </c>
      <c r="H78" s="168" t="inlineStr">
        <is>
          <t xml:space="preserve">GIGANTE 2 BOCHAS</t>
        </is>
      </c>
      <c r="I78" s="169">
        <f>SUMIFS($D$5:$D$211,$A$5:$A$211,"Lanus Oeste",$C$5:$C$211,H78)</f>
        <v>10</v>
      </c>
      <c r="J78" s="177">
        <f>SUMIFS($F$5:$F$211,$A$5:$A$211,"Lanus Oeste",$C$5:$C$211,H78)</f>
        <v>35000</v>
      </c>
      <c r="K78" s="171">
        <f>IF(SUMIF($A$5:$A$211,"Lanus Oeste",$D$5:$D$211)=0,0,I78/SUMIF($A$5:$A$211,"Lanus Oeste",$D$5:$D$211))</f>
        <v>0.030864197530864196</v>
      </c>
    </row>
    <row r="79">
      <c r="A79" s="146" t="inlineStr">
        <is>
          <t xml:space="preserve">Fiorito</t>
        </is>
      </c>
      <c r="B79" s="147" t="inlineStr">
        <is>
          <t xml:space="preserve">TORTAS</t>
        </is>
      </c>
      <c r="C79" s="147" t="inlineStr">
        <is>
          <t xml:space="preserve">TORTA GRIDO RELLENA</t>
        </is>
      </c>
      <c r="D79" s="85">
        <v>5</v>
      </c>
      <c r="E79" s="86">
        <v>5.225</v>
      </c>
      <c r="F79" s="83">
        <v>84000</v>
      </c>
      <c r="H79" s="184" t="inlineStr">
        <is>
          <t xml:space="preserve">BOMBON FRUTEZZA X8U.</t>
        </is>
      </c>
      <c r="I79" s="114">
        <f>SUMIFS($D$5:$D$211,$A$5:$A$211,"Lanus Oeste",$C$5:$C$211,H79)</f>
        <v>10</v>
      </c>
      <c r="J79" s="93">
        <f>SUMIFS($F$5:$F$211,$A$5:$A$211,"Lanus Oeste",$C$5:$C$211,H79)</f>
        <v>127680</v>
      </c>
      <c r="K79" s="185">
        <f>IF(SUMIF($A$5:$A$211,"Lanus Oeste",$D$5:$D$211)=0,0,I79/SUMIF($A$5:$A$211,"Lanus Oeste",$D$5:$D$211))</f>
        <v>0.030864197530864196</v>
      </c>
    </row>
    <row r="80">
      <c r="A80" s="146" t="inlineStr">
        <is>
          <t xml:space="preserve">Fiorito</t>
        </is>
      </c>
      <c r="B80" s="147" t="inlineStr">
        <is>
          <t xml:space="preserve">TORTAS</t>
        </is>
      </c>
      <c r="C80" s="147" t="inlineStr">
        <is>
          <t xml:space="preserve">TORTA FRUTILLAS CON CREMA</t>
        </is>
      </c>
      <c r="D80" s="85">
        <v>4</v>
      </c>
      <c r="E80" s="86">
        <v>4.18</v>
      </c>
      <c r="F80" s="83">
        <v>70000</v>
      </c>
      <c r="H80" s="168" t="inlineStr">
        <is>
          <t xml:space="preserve">BOMBON ESCOCES EN CAJA X 8</t>
        </is>
      </c>
      <c r="I80" s="169">
        <f>SUMIFS($D$5:$D$211,$A$5:$A$211,"Lanus Oeste",$C$5:$C$211,H80)</f>
        <v>9</v>
      </c>
      <c r="J80" s="177">
        <f>SUMIFS($F$5:$F$211,$A$5:$A$211,"Lanus Oeste",$C$5:$C$211,H80)</f>
        <v>118690</v>
      </c>
      <c r="K80" s="171">
        <f>IF(SUMIF($A$5:$A$211,"Lanus Oeste",$D$5:$D$211)=0,0,I80/SUMIF($A$5:$A$211,"Lanus Oeste",$D$5:$D$211))</f>
        <v>0.027777777777777776</v>
      </c>
    </row>
    <row r="81">
      <c r="A81" s="151" t="inlineStr">
        <is>
          <t xml:space="preserve">Escalada</t>
        </is>
      </c>
      <c r="B81" s="152" t="inlineStr">
        <is>
          <t xml:space="preserve">CAFETERIA</t>
        </is>
      </c>
      <c r="C81" s="152" t="inlineStr">
        <is>
          <t xml:space="preserve">CAFÉ CON LECHE GRANDE</t>
        </is>
      </c>
      <c r="D81" s="90">
        <v>5</v>
      </c>
      <c r="E81" s="91">
        <v>0</v>
      </c>
      <c r="F81" s="88">
        <v>16500</v>
      </c>
      <c r="H81" s="184" t="inlineStr">
        <is>
          <t xml:space="preserve">BOMBÓN CHOCO AVELLANAS X UN</t>
        </is>
      </c>
      <c r="I81" s="114">
        <f>SUMIFS($D$5:$D$211,$A$5:$A$211,"Lanus Oeste",$C$5:$C$211,H81)</f>
        <v>9</v>
      </c>
      <c r="J81" s="93">
        <f>SUMIFS($F$5:$F$211,$A$5:$A$211,"Lanus Oeste",$C$5:$C$211,H81)</f>
        <v>21600</v>
      </c>
      <c r="K81" s="185">
        <f>IF(SUMIF($A$5:$A$211,"Lanus Oeste",$D$5:$D$211)=0,0,I81/SUMIF($A$5:$A$211,"Lanus Oeste",$D$5:$D$211))</f>
        <v>0.027777777777777776</v>
      </c>
    </row>
    <row r="82">
      <c r="A82" s="151" t="inlineStr">
        <is>
          <t xml:space="preserve">Escalada</t>
        </is>
      </c>
      <c r="B82" s="152" t="inlineStr">
        <is>
          <t xml:space="preserve">CAFETERIA</t>
        </is>
      </c>
      <c r="C82" s="152" t="inlineStr">
        <is>
          <t xml:space="preserve">TORTA COCO C/DULCE DE LECHE 120G.</t>
        </is>
      </c>
      <c r="D82" s="90">
        <v>3</v>
      </c>
      <c r="E82" s="91">
        <v>0.36</v>
      </c>
      <c r="F82" s="88">
        <v>9600</v>
      </c>
    </row>
    <row r="83">
      <c r="A83" s="151" t="inlineStr">
        <is>
          <t xml:space="preserve">Escalada</t>
        </is>
      </c>
      <c r="B83" s="152" t="inlineStr">
        <is>
          <t xml:space="preserve">CAFETERIA</t>
        </is>
      </c>
      <c r="C83" s="152" t="inlineStr">
        <is>
          <t xml:space="preserve">CAFE CAPUCCINO</t>
        </is>
      </c>
      <c r="D83" s="90">
        <v>2</v>
      </c>
      <c r="E83" s="91">
        <v>0</v>
      </c>
      <c r="F83" s="88">
        <v>6600</v>
      </c>
    </row>
    <row r="84">
      <c r="A84" s="151" t="inlineStr">
        <is>
          <t xml:space="preserve">Escalada</t>
        </is>
      </c>
      <c r="B84" s="152" t="inlineStr">
        <is>
          <t xml:space="preserve">CAFETERIA</t>
        </is>
      </c>
      <c r="C84" s="152" t="inlineStr">
        <is>
          <t xml:space="preserve">MATE COCIDO GRANDE</t>
        </is>
      </c>
      <c r="D84" s="90">
        <v>2</v>
      </c>
      <c r="E84" s="91">
        <v>0</v>
      </c>
      <c r="F84" s="88">
        <v>1200</v>
      </c>
    </row>
    <row r="85">
      <c r="A85" s="151" t="inlineStr">
        <is>
          <t xml:space="preserve">Escalada</t>
        </is>
      </c>
      <c r="B85" s="152" t="inlineStr">
        <is>
          <t xml:space="preserve">CAFETERIA</t>
        </is>
      </c>
      <c r="C85" s="152" t="inlineStr">
        <is>
          <t xml:space="preserve">CAFÉ ESPRESSO DOBLE GRANDE</t>
        </is>
      </c>
      <c r="D85" s="90">
        <v>1</v>
      </c>
      <c r="E85" s="91">
        <v>0</v>
      </c>
      <c r="F85" s="88">
        <v>3300</v>
      </c>
    </row>
    <row r="86">
      <c r="A86" s="151" t="inlineStr">
        <is>
          <t xml:space="preserve">Escalada</t>
        </is>
      </c>
      <c r="B86" s="152" t="inlineStr">
        <is>
          <t xml:space="preserve">CONGELADOS</t>
        </is>
      </c>
      <c r="C86" s="152" t="inlineStr">
        <is>
          <t xml:space="preserve">FRAMBUESAS DOBLE CHOCOLATE - GRIDO</t>
        </is>
      </c>
      <c r="D86" s="90">
        <v>11</v>
      </c>
      <c r="E86" s="91">
        <v>1.32</v>
      </c>
      <c r="F86" s="88">
        <v>64400</v>
      </c>
    </row>
    <row r="87">
      <c r="A87" s="151" t="inlineStr">
        <is>
          <t xml:space="preserve">Escalada</t>
        </is>
      </c>
      <c r="B87" s="152" t="inlineStr">
        <is>
          <t xml:space="preserve">CONGELADOS</t>
        </is>
      </c>
      <c r="C87" s="152" t="inlineStr">
        <is>
          <t xml:space="preserve">FRUTILLAS DOBLE CHOCOLATE - GRIDO</t>
        </is>
      </c>
      <c r="D87" s="90">
        <v>1</v>
      </c>
      <c r="E87" s="91">
        <v>0.12</v>
      </c>
      <c r="F87" s="88">
        <v>5600</v>
      </c>
    </row>
    <row r="88">
      <c r="A88" s="151" t="inlineStr">
        <is>
          <t xml:space="preserve">Escalada</t>
        </is>
      </c>
      <c r="B88" s="152" t="inlineStr">
        <is>
          <t xml:space="preserve">CUCURUCH.</t>
        </is>
      </c>
      <c r="C88" s="152" t="inlineStr">
        <is>
          <t xml:space="preserve">CUPS CLÁSICO BOCA ANCHA  X3</t>
        </is>
      </c>
      <c r="D88" s="90">
        <v>5</v>
      </c>
      <c r="E88" s="91">
        <v>0</v>
      </c>
      <c r="F88" s="88">
        <v>9600</v>
      </c>
    </row>
    <row r="89">
      <c r="A89" s="151" t="inlineStr">
        <is>
          <t xml:space="preserve">Escalada</t>
        </is>
      </c>
      <c r="B89" s="152" t="inlineStr">
        <is>
          <t xml:space="preserve">CUCURUCH.</t>
        </is>
      </c>
      <c r="C89" s="152" t="inlineStr">
        <is>
          <t xml:space="preserve">CUPS BLACK X 3</t>
        </is>
      </c>
      <c r="D89" s="90">
        <v>1</v>
      </c>
      <c r="E89" s="91">
        <v>0</v>
      </c>
      <c r="F89" s="88">
        <v>1200</v>
      </c>
    </row>
    <row r="90">
      <c r="A90" s="151" t="inlineStr">
        <is>
          <t xml:space="preserve">Escalada</t>
        </is>
      </c>
      <c r="B90" s="152" t="inlineStr">
        <is>
          <t xml:space="preserve">DESCUENTOS</t>
        </is>
      </c>
      <c r="C90" s="152" t="inlineStr">
        <is>
          <t xml:space="preserve">DESCUENTO CUPONES</t>
        </is>
      </c>
      <c r="D90" s="90">
        <v>2</v>
      </c>
      <c r="E90" s="91">
        <v>0</v>
      </c>
      <c r="F90" s="88">
        <v>-5999.98</v>
      </c>
    </row>
    <row r="91">
      <c r="A91" s="151" t="inlineStr">
        <is>
          <t xml:space="preserve">Escalada</t>
        </is>
      </c>
      <c r="B91" s="152" t="inlineStr">
        <is>
          <t xml:space="preserve">FAMILIAR</t>
        </is>
      </c>
      <c r="C91" s="152" t="inlineStr">
        <is>
          <t xml:space="preserve">FAMNº1 (CHOCOLATE/D.LECHE/AMERICANA)</t>
        </is>
      </c>
      <c r="D91" s="90">
        <v>1</v>
      </c>
      <c r="E91" s="91">
        <v>1.6</v>
      </c>
      <c r="F91" s="88">
        <v>17600</v>
      </c>
    </row>
    <row r="92">
      <c r="A92" s="151" t="inlineStr">
        <is>
          <t xml:space="preserve">Escalada</t>
        </is>
      </c>
      <c r="B92" s="152" t="inlineStr">
        <is>
          <t xml:space="preserve">FAMILIAR</t>
        </is>
      </c>
      <c r="C92" s="152" t="inlineStr">
        <is>
          <t xml:space="preserve">FAMNº4 (D.LECHE G/VAINILLA/CHOCOLATE)</t>
        </is>
      </c>
      <c r="D92" s="90">
        <v>1</v>
      </c>
      <c r="E92" s="91">
        <v>1.6</v>
      </c>
      <c r="F92" s="88">
        <v>23700</v>
      </c>
    </row>
    <row r="93">
      <c r="A93" s="151" t="inlineStr">
        <is>
          <t xml:space="preserve">Escalada</t>
        </is>
      </c>
      <c r="B93" s="152" t="inlineStr">
        <is>
          <t xml:space="preserve">FRIZZIO</t>
        </is>
      </c>
      <c r="C93" s="152" t="inlineStr">
        <is>
          <t xml:space="preserve">PECHUGUITA DE POLLO</t>
        </is>
      </c>
      <c r="D93" s="90">
        <v>1</v>
      </c>
      <c r="E93" s="91">
        <v>0.38</v>
      </c>
      <c r="F93" s="88">
        <v>6400</v>
      </c>
    </row>
    <row r="94">
      <c r="A94" s="151" t="inlineStr">
        <is>
          <t xml:space="preserve">Escalada</t>
        </is>
      </c>
      <c r="B94" s="152" t="inlineStr">
        <is>
          <t xml:space="preserve">FRIZZIO</t>
        </is>
      </c>
      <c r="C94" s="152" t="inlineStr">
        <is>
          <t xml:space="preserve">PIZZA  CEBOLLA</t>
        </is>
      </c>
      <c r="D94" s="90">
        <v>1</v>
      </c>
      <c r="E94" s="91">
        <v>0.54</v>
      </c>
      <c r="F94" s="88">
        <v>5920</v>
      </c>
    </row>
    <row r="95">
      <c r="A95" s="151" t="inlineStr">
        <is>
          <t xml:space="preserve">Escalada</t>
        </is>
      </c>
      <c r="B95" s="152" t="inlineStr">
        <is>
          <t xml:space="preserve">GRIDO TOPS</t>
        </is>
      </c>
      <c r="C95" s="152" t="inlineStr">
        <is>
          <t xml:space="preserve">GRIDO TOPS - SALSA CHOCOLATE</t>
        </is>
      </c>
      <c r="D95" s="90">
        <v>6</v>
      </c>
      <c r="E95" s="91">
        <v>0</v>
      </c>
      <c r="F95" s="88">
        <v>3000</v>
      </c>
    </row>
    <row r="96">
      <c r="A96" s="151" t="inlineStr">
        <is>
          <t xml:space="preserve">Escalada</t>
        </is>
      </c>
      <c r="B96" s="152" t="inlineStr">
        <is>
          <t xml:space="preserve">GRIDO TOPS</t>
        </is>
      </c>
      <c r="C96" s="152" t="inlineStr">
        <is>
          <t xml:space="preserve">GRIDO TOPS MINI ROCKLETS</t>
        </is>
      </c>
      <c r="D96" s="90">
        <v>2</v>
      </c>
      <c r="E96" s="91">
        <v>0</v>
      </c>
      <c r="F96" s="88">
        <v>1400</v>
      </c>
    </row>
    <row r="97">
      <c r="A97" s="151" t="inlineStr">
        <is>
          <t xml:space="preserve">Escalada</t>
        </is>
      </c>
      <c r="B97" s="152" t="inlineStr">
        <is>
          <t xml:space="preserve">GRIDOS</t>
        </is>
      </c>
      <c r="C97" s="152" t="inlineStr">
        <is>
          <t xml:space="preserve">GRIDO BATIDO</t>
        </is>
      </c>
      <c r="D97" s="90">
        <v>3</v>
      </c>
      <c r="E97" s="91">
        <v>0.48</v>
      </c>
      <c r="F97" s="88">
        <v>12900</v>
      </c>
    </row>
    <row r="98">
      <c r="A98" s="151" t="inlineStr">
        <is>
          <t xml:space="preserve">Escalada</t>
        </is>
      </c>
      <c r="B98" s="152" t="inlineStr">
        <is>
          <t xml:space="preserve">HELADO X  KILO</t>
        </is>
      </c>
      <c r="C98" s="152" t="inlineStr">
        <is>
          <t xml:space="preserve">1 KILO</t>
        </is>
      </c>
      <c r="D98" s="90">
        <v>23</v>
      </c>
      <c r="E98" s="91">
        <v>23</v>
      </c>
      <c r="F98" s="88">
        <v>419250</v>
      </c>
    </row>
    <row r="99">
      <c r="A99" s="151" t="inlineStr">
        <is>
          <t xml:space="preserve">Escalada</t>
        </is>
      </c>
      <c r="B99" s="152" t="inlineStr">
        <is>
          <t xml:space="preserve">HELADO X  KILO</t>
        </is>
      </c>
      <c r="C99" s="152" t="inlineStr">
        <is>
          <t xml:space="preserve">1/2  KILO</t>
        </is>
      </c>
      <c r="D99" s="90">
        <v>17</v>
      </c>
      <c r="E99" s="91">
        <v>8.5</v>
      </c>
      <c r="F99" s="88">
        <v>166550</v>
      </c>
    </row>
    <row r="100">
      <c r="A100" s="151" t="inlineStr">
        <is>
          <t xml:space="preserve">Escalada</t>
        </is>
      </c>
      <c r="B100" s="152" t="inlineStr">
        <is>
          <t xml:space="preserve">HELADO X  KILO</t>
        </is>
      </c>
      <c r="C100" s="152" t="inlineStr">
        <is>
          <t xml:space="preserve">1/4  KILO</t>
        </is>
      </c>
      <c r="D100" s="90">
        <v>12</v>
      </c>
      <c r="E100" s="91">
        <v>3</v>
      </c>
      <c r="F100" s="88">
        <v>78850</v>
      </c>
    </row>
    <row r="101">
      <c r="A101" s="151" t="inlineStr">
        <is>
          <t xml:space="preserve">Escalada</t>
        </is>
      </c>
      <c r="B101" s="152" t="inlineStr">
        <is>
          <t xml:space="preserve">HELADO X BOCHA</t>
        </is>
      </c>
      <c r="C101" s="152" t="inlineStr">
        <is>
          <t xml:space="preserve">GIGANTE 2 BOCHAS</t>
        </is>
      </c>
      <c r="D101" s="90">
        <v>14</v>
      </c>
      <c r="E101" s="91">
        <v>2.24</v>
      </c>
      <c r="F101" s="88">
        <v>42000</v>
      </c>
    </row>
    <row r="102">
      <c r="A102" s="151" t="inlineStr">
        <is>
          <t xml:space="preserve">Escalada</t>
        </is>
      </c>
      <c r="B102" s="152" t="inlineStr">
        <is>
          <t xml:space="preserve">HELADO X BOCHA</t>
        </is>
      </c>
      <c r="C102" s="152" t="inlineStr">
        <is>
          <t xml:space="preserve">TACITA 2 BOCHAS</t>
        </is>
      </c>
      <c r="D102" s="90">
        <v>6</v>
      </c>
      <c r="E102" s="91">
        <v>0.96</v>
      </c>
      <c r="F102" s="88">
        <v>14000</v>
      </c>
    </row>
    <row r="103">
      <c r="A103" s="151" t="inlineStr">
        <is>
          <t xml:space="preserve">Escalada</t>
        </is>
      </c>
      <c r="B103" s="152" t="inlineStr">
        <is>
          <t xml:space="preserve">HELADO X BOCHA</t>
        </is>
      </c>
      <c r="C103" s="152" t="inlineStr">
        <is>
          <t xml:space="preserve">GRIDOTOY 1 B.TACITA PUQUI MUCHI</t>
        </is>
      </c>
      <c r="D103" s="90">
        <v>3</v>
      </c>
      <c r="E103" s="91">
        <v>0.24</v>
      </c>
      <c r="F103" s="88">
        <v>13200</v>
      </c>
    </row>
    <row r="104">
      <c r="A104" s="151" t="inlineStr">
        <is>
          <t xml:space="preserve">Escalada</t>
        </is>
      </c>
      <c r="B104" s="152" t="inlineStr">
        <is>
          <t xml:space="preserve">HELADO X BOCHA</t>
        </is>
      </c>
      <c r="C104" s="152" t="inlineStr">
        <is>
          <t xml:space="preserve">GRIDOTOY 2 B. CUCU PUQUI MUCHI</t>
        </is>
      </c>
      <c r="D104" s="90">
        <v>3</v>
      </c>
      <c r="E104" s="91">
        <v>0.48</v>
      </c>
      <c r="F104" s="88">
        <v>15000</v>
      </c>
    </row>
    <row r="105">
      <c r="A105" s="151" t="inlineStr">
        <is>
          <t xml:space="preserve">Escalada</t>
        </is>
      </c>
      <c r="B105" s="152" t="inlineStr">
        <is>
          <t xml:space="preserve">HELADO X BOCHA</t>
        </is>
      </c>
      <c r="C105" s="152" t="inlineStr">
        <is>
          <t xml:space="preserve">MINI GIGANTE</t>
        </is>
      </c>
      <c r="D105" s="90">
        <v>2</v>
      </c>
      <c r="E105" s="91">
        <v>0.16</v>
      </c>
      <c r="F105" s="88">
        <v>5600</v>
      </c>
    </row>
    <row r="106">
      <c r="A106" s="151" t="inlineStr">
        <is>
          <t xml:space="preserve">Escalada</t>
        </is>
      </c>
      <c r="B106" s="152" t="inlineStr">
        <is>
          <t xml:space="preserve">HELADO X BOCHA</t>
        </is>
      </c>
      <c r="C106" s="152" t="inlineStr">
        <is>
          <t xml:space="preserve">TACITA 3 BOCHAS</t>
        </is>
      </c>
      <c r="D106" s="90">
        <v>1</v>
      </c>
      <c r="E106" s="91">
        <v>0.24</v>
      </c>
      <c r="F106" s="88">
        <v>3900</v>
      </c>
    </row>
    <row r="107">
      <c r="A107" s="151" t="inlineStr">
        <is>
          <t xml:space="preserve">Escalada</t>
        </is>
      </c>
      <c r="B107" s="152" t="inlineStr">
        <is>
          <t xml:space="preserve">LINEAS ESPECIALES</t>
        </is>
      </c>
      <c r="C107" s="152" t="inlineStr">
        <is>
          <t xml:space="preserve">HEL. "DUL. EQUI. FRUTI" 80 GR XU.</t>
        </is>
      </c>
      <c r="D107" s="90">
        <v>1</v>
      </c>
      <c r="E107" s="91">
        <v>0.08</v>
      </c>
      <c r="F107" s="88">
        <v>3100</v>
      </c>
    </row>
    <row r="108">
      <c r="A108" s="151" t="inlineStr">
        <is>
          <t xml:space="preserve">Escalada</t>
        </is>
      </c>
      <c r="B108" s="152" t="inlineStr">
        <is>
          <t xml:space="preserve">LINEAS ESPECIALES</t>
        </is>
      </c>
      <c r="C108" s="152" t="inlineStr">
        <is>
          <t xml:space="preserve">HEL. "DUL. EQUI. CHOCO" 80 GR XU.</t>
        </is>
      </c>
      <c r="D108" s="90">
        <v>1</v>
      </c>
      <c r="E108" s="91">
        <v>0.08</v>
      </c>
      <c r="F108" s="88">
        <v>3100</v>
      </c>
    </row>
    <row r="109">
      <c r="A109" s="151" t="inlineStr">
        <is>
          <t xml:space="preserve">Escalada</t>
        </is>
      </c>
      <c r="B109" s="152" t="inlineStr">
        <is>
          <t xml:space="preserve">PALITOS</t>
        </is>
      </c>
      <c r="C109" s="152" t="inlineStr">
        <is>
          <t xml:space="preserve">PALITO BOMBON X UNIDAD</t>
        </is>
      </c>
      <c r="D109" s="90">
        <v>9</v>
      </c>
      <c r="E109" s="91">
        <v>0.45</v>
      </c>
      <c r="F109" s="88">
        <v>9900</v>
      </c>
    </row>
    <row r="110">
      <c r="A110" s="151" t="inlineStr">
        <is>
          <t xml:space="preserve">Escalada</t>
        </is>
      </c>
      <c r="B110" s="152" t="inlineStr">
        <is>
          <t xml:space="preserve">PALITOS</t>
        </is>
      </c>
      <c r="C110" s="152" t="inlineStr">
        <is>
          <t xml:space="preserve">PALITO BOMBÓN X10 UN.</t>
        </is>
      </c>
      <c r="D110" s="90">
        <v>7</v>
      </c>
      <c r="E110" s="91">
        <v>3.5</v>
      </c>
      <c r="F110" s="88">
        <v>54400</v>
      </c>
    </row>
    <row r="111">
      <c r="A111" s="151" t="inlineStr">
        <is>
          <t xml:space="preserve">Escalada</t>
        </is>
      </c>
      <c r="B111" s="152" t="inlineStr">
        <is>
          <t xml:space="preserve">PALITOS</t>
        </is>
      </c>
      <c r="C111" s="152" t="inlineStr">
        <is>
          <t xml:space="preserve">PALITO FRUTAL FRUTILLA X UNIDAD</t>
        </is>
      </c>
      <c r="D111" s="90">
        <v>7</v>
      </c>
      <c r="E111" s="91">
        <v>0.385</v>
      </c>
      <c r="F111" s="88">
        <v>5900</v>
      </c>
    </row>
    <row r="112">
      <c r="A112" s="151" t="inlineStr">
        <is>
          <t xml:space="preserve">Escalada</t>
        </is>
      </c>
      <c r="B112" s="152" t="inlineStr">
        <is>
          <t xml:space="preserve">PALITOS</t>
        </is>
      </c>
      <c r="C112" s="152" t="inlineStr">
        <is>
          <t xml:space="preserve">P.CREM.FRUTILLA X UNIDAD</t>
        </is>
      </c>
      <c r="D112" s="90">
        <v>6</v>
      </c>
      <c r="E112" s="91">
        <v>0.24</v>
      </c>
      <c r="F112" s="88">
        <v>5850</v>
      </c>
    </row>
    <row r="113">
      <c r="A113" s="151" t="inlineStr">
        <is>
          <t xml:space="preserve">Escalada</t>
        </is>
      </c>
      <c r="B113" s="152" t="inlineStr">
        <is>
          <t xml:space="preserve">PALITOS</t>
        </is>
      </c>
      <c r="C113" s="152" t="inlineStr">
        <is>
          <t xml:space="preserve">PALITO BOMBÓN DDL X 10</t>
        </is>
      </c>
      <c r="D113" s="90">
        <v>4</v>
      </c>
      <c r="E113" s="91">
        <v>2</v>
      </c>
      <c r="F113" s="88">
        <v>32500</v>
      </c>
    </row>
    <row r="114">
      <c r="A114" s="151" t="inlineStr">
        <is>
          <t xml:space="preserve">Escalada</t>
        </is>
      </c>
      <c r="B114" s="152" t="inlineStr">
        <is>
          <t xml:space="preserve">PALITOS</t>
        </is>
      </c>
      <c r="C114" s="152" t="inlineStr">
        <is>
          <t xml:space="preserve">PALITO FRUTAL NARANJA X UNIDAD</t>
        </is>
      </c>
      <c r="D114" s="90">
        <v>3</v>
      </c>
      <c r="E114" s="91">
        <v>0.165</v>
      </c>
      <c r="F114" s="88">
        <v>2400</v>
      </c>
    </row>
    <row r="115">
      <c r="A115" s="151" t="inlineStr">
        <is>
          <t xml:space="preserve">Escalada</t>
        </is>
      </c>
      <c r="B115" s="152" t="inlineStr">
        <is>
          <t xml:space="preserve">PALITOS</t>
        </is>
      </c>
      <c r="C115" s="152" t="inlineStr">
        <is>
          <t xml:space="preserve">PALITO BOMBON DDL X UN.</t>
        </is>
      </c>
      <c r="D115" s="90">
        <v>3</v>
      </c>
      <c r="E115" s="91">
        <v>0.15</v>
      </c>
      <c r="F115" s="88">
        <v>3300</v>
      </c>
    </row>
    <row r="116">
      <c r="A116" s="151" t="inlineStr">
        <is>
          <t xml:space="preserve">Escalada</t>
        </is>
      </c>
      <c r="B116" s="152" t="inlineStr">
        <is>
          <t xml:space="preserve">PALITOS</t>
        </is>
      </c>
      <c r="C116" s="152" t="inlineStr">
        <is>
          <t xml:space="preserve">P.FRUT.FRUTILLA EN CAJA X 20</t>
        </is>
      </c>
      <c r="D116" s="90">
        <v>2</v>
      </c>
      <c r="E116" s="91">
        <v>2.2</v>
      </c>
      <c r="F116" s="88">
        <v>21000</v>
      </c>
    </row>
    <row r="117">
      <c r="A117" s="151" t="inlineStr">
        <is>
          <t xml:space="preserve">Escalada</t>
        </is>
      </c>
      <c r="B117" s="152" t="inlineStr">
        <is>
          <t xml:space="preserve">PALITOS</t>
        </is>
      </c>
      <c r="C117" s="152" t="inlineStr">
        <is>
          <t xml:space="preserve">PALITO CREMOSO AMERICANA X10 U.</t>
        </is>
      </c>
      <c r="D117" s="90">
        <v>1</v>
      </c>
      <c r="E117" s="91">
        <v>0.41</v>
      </c>
      <c r="F117" s="88">
        <v>6700</v>
      </c>
    </row>
    <row r="118">
      <c r="A118" s="151" t="inlineStr">
        <is>
          <t xml:space="preserve">Escalada</t>
        </is>
      </c>
      <c r="B118" s="152" t="inlineStr">
        <is>
          <t xml:space="preserve">PALITOS</t>
        </is>
      </c>
      <c r="C118" s="152" t="inlineStr">
        <is>
          <t xml:space="preserve">PALITO CREMOSO FRUTILLA X10 U.</t>
        </is>
      </c>
      <c r="D118" s="90">
        <v>1</v>
      </c>
      <c r="E118" s="91">
        <v>0.41</v>
      </c>
      <c r="F118" s="88">
        <v>5800</v>
      </c>
    </row>
    <row r="119">
      <c r="A119" s="151" t="inlineStr">
        <is>
          <t xml:space="preserve">Escalada</t>
        </is>
      </c>
      <c r="B119" s="152" t="inlineStr">
        <is>
          <t xml:space="preserve">PALITOS</t>
        </is>
      </c>
      <c r="C119" s="152" t="inlineStr">
        <is>
          <t xml:space="preserve">P.CREM.AMERICANA X UNIDAD</t>
        </is>
      </c>
      <c r="D119" s="90">
        <v>1</v>
      </c>
      <c r="E119" s="91">
        <v>0.04</v>
      </c>
      <c r="F119" s="88">
        <v>900</v>
      </c>
    </row>
    <row r="120">
      <c r="A120" s="151" t="inlineStr">
        <is>
          <t xml:space="preserve">Escalada</t>
        </is>
      </c>
      <c r="B120" s="152" t="inlineStr">
        <is>
          <t xml:space="preserve">POSTRES</t>
        </is>
      </c>
      <c r="C120" s="152" t="inlineStr">
        <is>
          <t xml:space="preserve">BOMBON ESCOCES EN CAJA X 8</t>
        </is>
      </c>
      <c r="D120" s="90">
        <v>10</v>
      </c>
      <c r="E120" s="91">
        <v>7.2</v>
      </c>
      <c r="F120" s="88">
        <v>152000</v>
      </c>
    </row>
    <row r="121">
      <c r="A121" s="151" t="inlineStr">
        <is>
          <t xml:space="preserve">Escalada</t>
        </is>
      </c>
      <c r="B121" s="152" t="inlineStr">
        <is>
          <t xml:space="preserve">POSTRES</t>
        </is>
      </c>
      <c r="C121" s="152" t="inlineStr">
        <is>
          <t xml:space="preserve">BOMBON FRUTEZZA XU.</t>
        </is>
      </c>
      <c r="D121" s="90">
        <v>8</v>
      </c>
      <c r="E121" s="91">
        <v>0.592</v>
      </c>
      <c r="F121" s="88">
        <v>16800</v>
      </c>
    </row>
    <row r="122">
      <c r="A122" s="151" t="inlineStr">
        <is>
          <t xml:space="preserve">Escalada</t>
        </is>
      </c>
      <c r="B122" s="152" t="inlineStr">
        <is>
          <t xml:space="preserve">POSTRES</t>
        </is>
      </c>
      <c r="C122" s="152" t="inlineStr">
        <is>
          <t xml:space="preserve">CROCANTINO</t>
        </is>
      </c>
      <c r="D122" s="90">
        <v>6</v>
      </c>
      <c r="E122" s="91">
        <v>3.9</v>
      </c>
      <c r="F122" s="88">
        <v>69300</v>
      </c>
    </row>
    <row r="123">
      <c r="A123" s="151" t="inlineStr">
        <is>
          <t xml:space="preserve">Escalada</t>
        </is>
      </c>
      <c r="B123" s="152" t="inlineStr">
        <is>
          <t xml:space="preserve">POSTRES</t>
        </is>
      </c>
      <c r="C123" s="152" t="inlineStr">
        <is>
          <t xml:space="preserve">BOMBON ESCOCES X UNIDAD</t>
        </is>
      </c>
      <c r="D123" s="90">
        <v>5</v>
      </c>
      <c r="E123" s="91">
        <v>0.45</v>
      </c>
      <c r="F123" s="88">
        <v>12000</v>
      </c>
    </row>
    <row r="124">
      <c r="A124" s="151" t="inlineStr">
        <is>
          <t xml:space="preserve">Escalada</t>
        </is>
      </c>
      <c r="B124" s="152" t="inlineStr">
        <is>
          <t xml:space="preserve">POSTRES</t>
        </is>
      </c>
      <c r="C124" s="152" t="inlineStr">
        <is>
          <t xml:space="preserve">ALMENDRADO X UNIDAD</t>
        </is>
      </c>
      <c r="D124" s="90">
        <v>4</v>
      </c>
      <c r="E124" s="91">
        <v>0.34</v>
      </c>
      <c r="F124" s="88">
        <v>7200</v>
      </c>
    </row>
    <row r="125">
      <c r="A125" s="151" t="inlineStr">
        <is>
          <t xml:space="preserve">Escalada</t>
        </is>
      </c>
      <c r="B125" s="152" t="inlineStr">
        <is>
          <t xml:space="preserve">POSTRES</t>
        </is>
      </c>
      <c r="C125" s="152" t="inlineStr">
        <is>
          <t xml:space="preserve">ALMENDRADO EN CAJA X 8</t>
        </is>
      </c>
      <c r="D125" s="90">
        <v>4</v>
      </c>
      <c r="E125" s="91">
        <v>2.72</v>
      </c>
      <c r="F125" s="88">
        <v>44060</v>
      </c>
    </row>
    <row r="126">
      <c r="A126" s="151" t="inlineStr">
        <is>
          <t xml:space="preserve">Escalada</t>
        </is>
      </c>
      <c r="B126" s="152" t="inlineStr">
        <is>
          <t xml:space="preserve">POSTRES</t>
        </is>
      </c>
      <c r="C126" s="152" t="inlineStr">
        <is>
          <t xml:space="preserve">ALFAJOR SECRETO COOKIES AND CREAM X UN.</t>
        </is>
      </c>
      <c r="D126" s="90">
        <v>3</v>
      </c>
      <c r="E126" s="91">
        <v>0.249</v>
      </c>
      <c r="F126" s="88">
        <v>10500</v>
      </c>
    </row>
    <row r="127">
      <c r="A127" s="151" t="inlineStr">
        <is>
          <t xml:space="preserve">Escalada</t>
        </is>
      </c>
      <c r="B127" s="152" t="inlineStr">
        <is>
          <t xml:space="preserve">POSTRES</t>
        </is>
      </c>
      <c r="C127" s="152" t="inlineStr">
        <is>
          <t xml:space="preserve">BOMBON SUIZO EN CAJA X 8</t>
        </is>
      </c>
      <c r="D127" s="90">
        <v>3</v>
      </c>
      <c r="E127" s="91">
        <v>2.04</v>
      </c>
      <c r="F127" s="88">
        <v>41400</v>
      </c>
    </row>
    <row r="128">
      <c r="A128" s="151" t="inlineStr">
        <is>
          <t xml:space="preserve">Escalada</t>
        </is>
      </c>
      <c r="B128" s="152" t="inlineStr">
        <is>
          <t xml:space="preserve">POSTRES</t>
        </is>
      </c>
      <c r="C128" s="152" t="inlineStr">
        <is>
          <t xml:space="preserve">CASATTA X UNIDAD</t>
        </is>
      </c>
      <c r="D128" s="90">
        <v>2</v>
      </c>
      <c r="E128" s="91">
        <v>0.15</v>
      </c>
      <c r="F128" s="88">
        <v>3600</v>
      </c>
    </row>
    <row r="129">
      <c r="A129" s="151" t="inlineStr">
        <is>
          <t xml:space="preserve">Escalada</t>
        </is>
      </c>
      <c r="B129" s="152" t="inlineStr">
        <is>
          <t xml:space="preserve">POSTRES</t>
        </is>
      </c>
      <c r="C129" s="152" t="inlineStr">
        <is>
          <t xml:space="preserve">ALFAJOR SECRETO COOKIES AND CREAM</t>
        </is>
      </c>
      <c r="D129" s="90">
        <v>2</v>
      </c>
      <c r="E129" s="91">
        <v>0.996</v>
      </c>
      <c r="F129" s="88">
        <v>28000</v>
      </c>
    </row>
    <row r="130">
      <c r="A130" s="151" t="inlineStr">
        <is>
          <t xml:space="preserve">Escalada</t>
        </is>
      </c>
      <c r="B130" s="152" t="inlineStr">
        <is>
          <t xml:space="preserve">POSTRES</t>
        </is>
      </c>
      <c r="C130" s="152" t="inlineStr">
        <is>
          <t xml:space="preserve">BOMBON FRUTEZZA X8U.</t>
        </is>
      </c>
      <c r="D130" s="90">
        <v>2</v>
      </c>
      <c r="E130" s="91">
        <v>1.184</v>
      </c>
      <c r="F130" s="88">
        <v>29800</v>
      </c>
    </row>
    <row r="131">
      <c r="A131" s="151" t="inlineStr">
        <is>
          <t xml:space="preserve">Escalada</t>
        </is>
      </c>
      <c r="B131" s="152" t="inlineStr">
        <is>
          <t xml:space="preserve">POSTRES</t>
        </is>
      </c>
      <c r="C131" s="152" t="inlineStr">
        <is>
          <t xml:space="preserve">CASATTA EN CAJA X 8</t>
        </is>
      </c>
      <c r="D131" s="90">
        <v>2</v>
      </c>
      <c r="E131" s="91">
        <v>1.2</v>
      </c>
      <c r="F131" s="88">
        <v>23100</v>
      </c>
    </row>
    <row r="132">
      <c r="A132" s="151" t="inlineStr">
        <is>
          <t xml:space="preserve">Escalada</t>
        </is>
      </c>
      <c r="B132" s="152" t="inlineStr">
        <is>
          <t xml:space="preserve">POSTRES</t>
        </is>
      </c>
      <c r="C132" s="152" t="inlineStr">
        <is>
          <t xml:space="preserve">BOMBON CROCANTE X UNIDAD</t>
        </is>
      </c>
      <c r="D132" s="90">
        <v>1</v>
      </c>
      <c r="E132" s="91">
        <v>0.07</v>
      </c>
      <c r="F132" s="88">
        <v>2200</v>
      </c>
    </row>
    <row r="133">
      <c r="A133" s="151" t="inlineStr">
        <is>
          <t xml:space="preserve">Escalada</t>
        </is>
      </c>
      <c r="B133" s="152" t="inlineStr">
        <is>
          <t xml:space="preserve">TENTACION</t>
        </is>
      </c>
      <c r="C133" s="152" t="inlineStr">
        <is>
          <t xml:space="preserve">T.1 LT DDL GRANIZADO</t>
        </is>
      </c>
      <c r="D133" s="90">
        <v>2</v>
      </c>
      <c r="E133" s="91">
        <v>1.38</v>
      </c>
      <c r="F133" s="88">
        <v>17600</v>
      </c>
    </row>
    <row r="134">
      <c r="A134" s="151" t="inlineStr">
        <is>
          <t xml:space="preserve">Escalada</t>
        </is>
      </c>
      <c r="B134" s="152" t="inlineStr">
        <is>
          <t xml:space="preserve">TENTACION</t>
        </is>
      </c>
      <c r="C134" s="152" t="inlineStr">
        <is>
          <t xml:space="preserve">TODDY GALLETITAS</t>
        </is>
      </c>
      <c r="D134" s="90">
        <v>2</v>
      </c>
      <c r="E134" s="91">
        <v>1.38</v>
      </c>
      <c r="F134" s="88">
        <v>17600</v>
      </c>
    </row>
    <row r="135">
      <c r="A135" s="151" t="inlineStr">
        <is>
          <t xml:space="preserve">Escalada</t>
        </is>
      </c>
      <c r="B135" s="152" t="inlineStr">
        <is>
          <t xml:space="preserve">TENTACION</t>
        </is>
      </c>
      <c r="C135" s="152" t="inlineStr">
        <is>
          <t xml:space="preserve">T.1 LT VAINILLA</t>
        </is>
      </c>
      <c r="D135" s="90">
        <v>2</v>
      </c>
      <c r="E135" s="91">
        <v>1.38</v>
      </c>
      <c r="F135" s="88">
        <v>17600</v>
      </c>
    </row>
    <row r="136">
      <c r="A136" s="151" t="inlineStr">
        <is>
          <t xml:space="preserve">Escalada</t>
        </is>
      </c>
      <c r="B136" s="152" t="inlineStr">
        <is>
          <t xml:space="preserve">TENTACION</t>
        </is>
      </c>
      <c r="C136" s="152" t="inlineStr">
        <is>
          <t xml:space="preserve">T.CR.AMERICANA</t>
        </is>
      </c>
      <c r="D136" s="90">
        <v>2</v>
      </c>
      <c r="E136" s="91">
        <v>1.38</v>
      </c>
      <c r="F136" s="88">
        <v>17600</v>
      </c>
    </row>
    <row r="137">
      <c r="A137" s="151" t="inlineStr">
        <is>
          <t xml:space="preserve">Escalada</t>
        </is>
      </c>
      <c r="B137" s="152" t="inlineStr">
        <is>
          <t xml:space="preserve">TENTACION</t>
        </is>
      </c>
      <c r="C137" s="152" t="inlineStr">
        <is>
          <t xml:space="preserve">T. LIMON</t>
        </is>
      </c>
      <c r="D137" s="90">
        <v>1</v>
      </c>
      <c r="E137" s="91">
        <v>0.69</v>
      </c>
      <c r="F137" s="88">
        <v>11300</v>
      </c>
    </row>
    <row r="138">
      <c r="A138" s="151" t="inlineStr">
        <is>
          <t xml:space="preserve">Escalada</t>
        </is>
      </c>
      <c r="B138" s="152" t="inlineStr">
        <is>
          <t xml:space="preserve">TENTACION</t>
        </is>
      </c>
      <c r="C138" s="152" t="inlineStr">
        <is>
          <t xml:space="preserve">T. CHOC.ALMENDRAS</t>
        </is>
      </c>
      <c r="D138" s="90">
        <v>1</v>
      </c>
      <c r="E138" s="91">
        <v>0.69</v>
      </c>
      <c r="F138" s="88">
        <v>8800</v>
      </c>
    </row>
    <row r="139">
      <c r="A139" s="151" t="inlineStr">
        <is>
          <t xml:space="preserve">Escalada</t>
        </is>
      </c>
      <c r="B139" s="152" t="inlineStr">
        <is>
          <t xml:space="preserve">TENTACION</t>
        </is>
      </c>
      <c r="C139" s="152" t="inlineStr">
        <is>
          <t xml:space="preserve">T.DDLECHE</t>
        </is>
      </c>
      <c r="D139" s="90">
        <v>1</v>
      </c>
      <c r="E139" s="91">
        <v>0.69</v>
      </c>
      <c r="F139" s="88">
        <v>8800</v>
      </c>
    </row>
    <row r="140">
      <c r="A140" s="151" t="inlineStr">
        <is>
          <t xml:space="preserve">Escalada</t>
        </is>
      </c>
      <c r="B140" s="152" t="inlineStr">
        <is>
          <t xml:space="preserve">TORTAS</t>
        </is>
      </c>
      <c r="C140" s="152" t="inlineStr">
        <is>
          <t xml:space="preserve">TORTA GRIDO RELLENA</t>
        </is>
      </c>
      <c r="D140" s="90">
        <v>9</v>
      </c>
      <c r="E140" s="91">
        <v>9.405</v>
      </c>
      <c r="F140" s="88">
        <v>159500</v>
      </c>
    </row>
    <row r="141">
      <c r="A141" s="151" t="inlineStr">
        <is>
          <t xml:space="preserve">Escalada</t>
        </is>
      </c>
      <c r="B141" s="152" t="inlineStr">
        <is>
          <t xml:space="preserve">TORTAS</t>
        </is>
      </c>
      <c r="C141" s="152" t="inlineStr">
        <is>
          <t xml:space="preserve">TORTA COOKIES AND CREAM</t>
        </is>
      </c>
      <c r="D141" s="90">
        <v>4</v>
      </c>
      <c r="E141" s="91">
        <v>4.18</v>
      </c>
      <c r="F141" s="88">
        <v>71000</v>
      </c>
    </row>
    <row r="142">
      <c r="A142" s="151" t="inlineStr">
        <is>
          <t xml:space="preserve">Escalada</t>
        </is>
      </c>
      <c r="B142" s="152" t="inlineStr">
        <is>
          <t xml:space="preserve">TORTAS</t>
        </is>
      </c>
      <c r="C142" s="152" t="inlineStr">
        <is>
          <t xml:space="preserve">TORTA FRUTILLAS CON CREMA</t>
        </is>
      </c>
      <c r="D142" s="90">
        <v>1</v>
      </c>
      <c r="E142" s="91">
        <v>1.045</v>
      </c>
      <c r="F142" s="88">
        <v>14000</v>
      </c>
    </row>
    <row r="143">
      <c r="A143" s="156" t="inlineStr">
        <is>
          <t xml:space="preserve">Lanus Oeste</t>
        </is>
      </c>
      <c r="B143" s="157" t="inlineStr">
        <is>
          <t xml:space="preserve">CAFETERIA</t>
        </is>
      </c>
      <c r="C143" s="157" t="inlineStr">
        <is>
          <t xml:space="preserve">CAFÉ CON LECHE GRANDE</t>
        </is>
      </c>
      <c r="D143" s="95">
        <v>2</v>
      </c>
      <c r="E143" s="96">
        <v>0</v>
      </c>
      <c r="F143" s="93">
        <v>6550</v>
      </c>
    </row>
    <row r="144">
      <c r="A144" s="156" t="inlineStr">
        <is>
          <t xml:space="preserve">Lanus Oeste</t>
        </is>
      </c>
      <c r="B144" s="157" t="inlineStr">
        <is>
          <t xml:space="preserve">CAFETERIA</t>
        </is>
      </c>
      <c r="C144" s="157" t="inlineStr">
        <is>
          <t xml:space="preserve">TORTA COCO C/DULCE DE LECHE 120G.</t>
        </is>
      </c>
      <c r="D144" s="95">
        <v>1</v>
      </c>
      <c r="E144" s="96">
        <v>0.12</v>
      </c>
      <c r="F144" s="93">
        <v>3200</v>
      </c>
    </row>
    <row r="145">
      <c r="A145" s="156" t="inlineStr">
        <is>
          <t xml:space="preserve">Lanus Oeste</t>
        </is>
      </c>
      <c r="B145" s="157" t="inlineStr">
        <is>
          <t xml:space="preserve">CAFETERIA</t>
        </is>
      </c>
      <c r="C145" s="157" t="inlineStr">
        <is>
          <t xml:space="preserve">MUFFIN VAINILLA</t>
        </is>
      </c>
      <c r="D145" s="95">
        <v>1</v>
      </c>
      <c r="E145" s="96">
        <v>0</v>
      </c>
      <c r="F145" s="93">
        <v>3250</v>
      </c>
    </row>
    <row r="146">
      <c r="A146" s="156" t="inlineStr">
        <is>
          <t xml:space="preserve">Lanus Oeste</t>
        </is>
      </c>
      <c r="B146" s="157" t="inlineStr">
        <is>
          <t xml:space="preserve">CONGELADOS</t>
        </is>
      </c>
      <c r="C146" s="157" t="inlineStr">
        <is>
          <t xml:space="preserve">FRAMBUESAS DOBLE CHOCOLATE - GRIDO</t>
        </is>
      </c>
      <c r="D146" s="95">
        <v>15</v>
      </c>
      <c r="E146" s="96">
        <v>1.8</v>
      </c>
      <c r="F146" s="93">
        <v>84000</v>
      </c>
    </row>
    <row r="147">
      <c r="A147" s="156" t="inlineStr">
        <is>
          <t xml:space="preserve">Lanus Oeste</t>
        </is>
      </c>
      <c r="B147" s="157" t="inlineStr">
        <is>
          <t xml:space="preserve">CONGELADOS</t>
        </is>
      </c>
      <c r="C147" s="157" t="inlineStr">
        <is>
          <t xml:space="preserve">FRUTILLAS DOBLE CHOCOLATE - GRIDO</t>
        </is>
      </c>
      <c r="D147" s="95">
        <v>4</v>
      </c>
      <c r="E147" s="96">
        <v>0.48</v>
      </c>
      <c r="F147" s="93">
        <v>21280</v>
      </c>
    </row>
    <row r="148">
      <c r="A148" s="156" t="inlineStr">
        <is>
          <t xml:space="preserve">Lanus Oeste</t>
        </is>
      </c>
      <c r="B148" s="157" t="inlineStr">
        <is>
          <t xml:space="preserve">CUCURUCH.</t>
        </is>
      </c>
      <c r="C148" s="157" t="inlineStr">
        <is>
          <t xml:space="preserve">CUPS CONITO X 5 UN.</t>
        </is>
      </c>
      <c r="D148" s="95">
        <v>4</v>
      </c>
      <c r="E148" s="96">
        <v>0</v>
      </c>
      <c r="F148" s="93">
        <v>4000</v>
      </c>
    </row>
    <row r="149">
      <c r="A149" s="156" t="inlineStr">
        <is>
          <t xml:space="preserve">Lanus Oeste</t>
        </is>
      </c>
      <c r="B149" s="157" t="inlineStr">
        <is>
          <t xml:space="preserve">CUCURUCH.</t>
        </is>
      </c>
      <c r="C149" s="157" t="inlineStr">
        <is>
          <t xml:space="preserve">CUPS VASITO X 5UNI</t>
        </is>
      </c>
      <c r="D149" s="95">
        <v>3</v>
      </c>
      <c r="E149" s="96">
        <v>0</v>
      </c>
      <c r="F149" s="93">
        <v>2700</v>
      </c>
    </row>
    <row r="150">
      <c r="A150" s="156" t="inlineStr">
        <is>
          <t xml:space="preserve">Lanus Oeste</t>
        </is>
      </c>
      <c r="B150" s="157" t="inlineStr">
        <is>
          <t xml:space="preserve">CUCURUCH.</t>
        </is>
      </c>
      <c r="C150" s="157" t="inlineStr">
        <is>
          <t xml:space="preserve">CUPS BLACK X 3</t>
        </is>
      </c>
      <c r="D150" s="95">
        <v>3</v>
      </c>
      <c r="E150" s="96">
        <v>0</v>
      </c>
      <c r="F150" s="93">
        <v>3600</v>
      </c>
    </row>
    <row r="151">
      <c r="A151" s="156" t="inlineStr">
        <is>
          <t xml:space="preserve">Lanus Oeste</t>
        </is>
      </c>
      <c r="B151" s="157" t="inlineStr">
        <is>
          <t xml:space="preserve">DELIVERY</t>
        </is>
      </c>
      <c r="C151" s="157" t="inlineStr">
        <is>
          <t xml:space="preserve">ENVIO A DOMICILIO</t>
        </is>
      </c>
      <c r="D151" s="95">
        <v>10</v>
      </c>
      <c r="E151" s="96">
        <v>0</v>
      </c>
      <c r="F151" s="93">
        <v>8800</v>
      </c>
    </row>
    <row r="152">
      <c r="A152" s="156" t="inlineStr">
        <is>
          <t xml:space="preserve">Lanus Oeste</t>
        </is>
      </c>
      <c r="B152" s="157" t="inlineStr">
        <is>
          <t xml:space="preserve">FAMILIAR</t>
        </is>
      </c>
      <c r="C152" s="157" t="inlineStr">
        <is>
          <t xml:space="preserve">FAMNº1 (CHOCOLATE/D.LECHE/AMERICANA)</t>
        </is>
      </c>
      <c r="D152" s="95">
        <v>4</v>
      </c>
      <c r="E152" s="96">
        <v>6.4</v>
      </c>
      <c r="F152" s="93">
        <v>70400</v>
      </c>
    </row>
    <row r="153">
      <c r="A153" s="156" t="inlineStr">
        <is>
          <t xml:space="preserve">Lanus Oeste</t>
        </is>
      </c>
      <c r="B153" s="157" t="inlineStr">
        <is>
          <t xml:space="preserve">FAMILIAR</t>
        </is>
      </c>
      <c r="C153" s="157" t="inlineStr">
        <is>
          <t xml:space="preserve">FAMNº4 (D.LECHE G/VAINILLA/CHOCOLATE)</t>
        </is>
      </c>
      <c r="D153" s="95">
        <v>2</v>
      </c>
      <c r="E153" s="96">
        <v>3.2</v>
      </c>
      <c r="F153" s="93">
        <v>35200</v>
      </c>
    </row>
    <row r="154">
      <c r="A154" s="156" t="inlineStr">
        <is>
          <t xml:space="preserve">Lanus Oeste</t>
        </is>
      </c>
      <c r="B154" s="157" t="inlineStr">
        <is>
          <t xml:space="preserve">FAMILIAR</t>
        </is>
      </c>
      <c r="C154" s="157" t="inlineStr">
        <is>
          <t xml:space="preserve">FAMNº2 (AMERICANA/FRUTILLA/DDL GRANIZADO)</t>
        </is>
      </c>
      <c r="D154" s="95">
        <v>1</v>
      </c>
      <c r="E154" s="96">
        <v>1.6</v>
      </c>
      <c r="F154" s="93">
        <v>17600</v>
      </c>
    </row>
    <row r="155">
      <c r="A155" s="156" t="inlineStr">
        <is>
          <t xml:space="preserve">Lanus Oeste</t>
        </is>
      </c>
      <c r="B155" s="157" t="inlineStr">
        <is>
          <t xml:space="preserve">FAMILIAR</t>
        </is>
      </c>
      <c r="C155" s="157" t="inlineStr">
        <is>
          <t xml:space="preserve">FAMNº3 (VAINILLA/FRUTILLA/GRANIZADO)</t>
        </is>
      </c>
      <c r="D155" s="95">
        <v>1</v>
      </c>
      <c r="E155" s="96">
        <v>1.6</v>
      </c>
      <c r="F155" s="93">
        <v>17600</v>
      </c>
    </row>
    <row r="156">
      <c r="A156" s="156" t="inlineStr">
        <is>
          <t xml:space="preserve">Lanus Oeste</t>
        </is>
      </c>
      <c r="B156" s="157" t="inlineStr">
        <is>
          <t xml:space="preserve">FRIZZIO</t>
        </is>
      </c>
      <c r="C156" s="157" t="inlineStr">
        <is>
          <t xml:space="preserve">PIZZA JAMON</t>
        </is>
      </c>
      <c r="D156" s="95">
        <v>1</v>
      </c>
      <c r="E156" s="96">
        <v>0.665</v>
      </c>
      <c r="F156" s="93">
        <v>7900</v>
      </c>
    </row>
    <row r="157">
      <c r="A157" s="156" t="inlineStr">
        <is>
          <t xml:space="preserve">Lanus Oeste</t>
        </is>
      </c>
      <c r="B157" s="157" t="inlineStr">
        <is>
          <t xml:space="preserve">GRIDO TOPS</t>
        </is>
      </c>
      <c r="C157" s="157" t="inlineStr">
        <is>
          <t xml:space="preserve">GRIDO TOPS - SALSA CHOCOLATE</t>
        </is>
      </c>
      <c r="D157" s="95">
        <v>2</v>
      </c>
      <c r="E157" s="96">
        <v>0</v>
      </c>
      <c r="F157" s="93">
        <v>1000</v>
      </c>
    </row>
    <row r="158">
      <c r="A158" s="156" t="inlineStr">
        <is>
          <t xml:space="preserve">Lanus Oeste</t>
        </is>
      </c>
      <c r="B158" s="157" t="inlineStr">
        <is>
          <t xml:space="preserve">GRIDO TOPS</t>
        </is>
      </c>
      <c r="C158" s="157" t="inlineStr">
        <is>
          <t xml:space="preserve">GRIDO TOPS MINI ROCKLETS</t>
        </is>
      </c>
      <c r="D158" s="95">
        <v>1</v>
      </c>
      <c r="E158" s="96">
        <v>0</v>
      </c>
      <c r="F158" s="93">
        <v>700</v>
      </c>
    </row>
    <row r="159">
      <c r="A159" s="156" t="inlineStr">
        <is>
          <t xml:space="preserve">Lanus Oeste</t>
        </is>
      </c>
      <c r="B159" s="157" t="inlineStr">
        <is>
          <t xml:space="preserve">GRIDOS</t>
        </is>
      </c>
      <c r="C159" s="157" t="inlineStr">
        <is>
          <t xml:space="preserve">GRIDO BATIDO</t>
        </is>
      </c>
      <c r="D159" s="95">
        <v>3</v>
      </c>
      <c r="E159" s="96">
        <v>0.48</v>
      </c>
      <c r="F159" s="93">
        <v>12900</v>
      </c>
    </row>
    <row r="160">
      <c r="A160" s="156" t="inlineStr">
        <is>
          <t xml:space="preserve">Lanus Oeste</t>
        </is>
      </c>
      <c r="B160" s="157" t="inlineStr">
        <is>
          <t xml:space="preserve">GRIDOS</t>
        </is>
      </c>
      <c r="C160" s="157" t="inlineStr">
        <is>
          <t xml:space="preserve">VELAS CON FORMAS X UN</t>
        </is>
      </c>
      <c r="D160" s="95">
        <v>1</v>
      </c>
      <c r="E160" s="96">
        <v>0</v>
      </c>
      <c r="F160" s="93">
        <v>1200</v>
      </c>
    </row>
    <row r="161">
      <c r="A161" s="156" t="inlineStr">
        <is>
          <t xml:space="preserve">Lanus Oeste</t>
        </is>
      </c>
      <c r="B161" s="157" t="inlineStr">
        <is>
          <t xml:space="preserve">GRIDOS</t>
        </is>
      </c>
      <c r="C161" s="157" t="inlineStr">
        <is>
          <t xml:space="preserve">CAPUCCINO GRIDO</t>
        </is>
      </c>
      <c r="D161" s="95">
        <v>1</v>
      </c>
      <c r="E161" s="96">
        <v>0.16</v>
      </c>
      <c r="F161" s="93">
        <v>4400</v>
      </c>
    </row>
    <row r="162">
      <c r="A162" s="156" t="inlineStr">
        <is>
          <t xml:space="preserve">Lanus Oeste</t>
        </is>
      </c>
      <c r="B162" s="157" t="inlineStr">
        <is>
          <t xml:space="preserve">GRIDOS</t>
        </is>
      </c>
      <c r="C162" s="157" t="inlineStr">
        <is>
          <t xml:space="preserve">CAPELINA FRUTILLA</t>
        </is>
      </c>
      <c r="D162" s="95">
        <v>1</v>
      </c>
      <c r="E162" s="96">
        <v>0.125</v>
      </c>
      <c r="F162" s="93">
        <v>4300</v>
      </c>
    </row>
    <row r="163">
      <c r="A163" s="156" t="inlineStr">
        <is>
          <t xml:space="preserve">Lanus Oeste</t>
        </is>
      </c>
      <c r="B163" s="157" t="inlineStr">
        <is>
          <t xml:space="preserve">GRIDOS</t>
        </is>
      </c>
      <c r="C163" s="157" t="inlineStr">
        <is>
          <t xml:space="preserve">CAPELINA TRAMONTANA</t>
        </is>
      </c>
      <c r="D163" s="95">
        <v>1</v>
      </c>
      <c r="E163" s="96">
        <v>0.125</v>
      </c>
      <c r="F163" s="93">
        <v>4300</v>
      </c>
    </row>
    <row r="164">
      <c r="A164" s="156" t="inlineStr">
        <is>
          <t xml:space="preserve">Lanus Oeste</t>
        </is>
      </c>
      <c r="B164" s="157" t="inlineStr">
        <is>
          <t xml:space="preserve">HELADO X  KILO</t>
        </is>
      </c>
      <c r="C164" s="157" t="inlineStr">
        <is>
          <t xml:space="preserve">1 KILO</t>
        </is>
      </c>
      <c r="D164" s="95">
        <v>41</v>
      </c>
      <c r="E164" s="96">
        <v>41</v>
      </c>
      <c r="F164" s="93">
        <v>655720</v>
      </c>
    </row>
    <row r="165">
      <c r="A165" s="156" t="inlineStr">
        <is>
          <t xml:space="preserve">Lanus Oeste</t>
        </is>
      </c>
      <c r="B165" s="157" t="inlineStr">
        <is>
          <t xml:space="preserve">HELADO X  KILO</t>
        </is>
      </c>
      <c r="C165" s="157" t="inlineStr">
        <is>
          <t xml:space="preserve">1/4  KILO</t>
        </is>
      </c>
      <c r="D165" s="95">
        <v>33</v>
      </c>
      <c r="E165" s="96">
        <v>8.25</v>
      </c>
      <c r="F165" s="93">
        <v>180400.03</v>
      </c>
    </row>
    <row r="166">
      <c r="A166" s="156" t="inlineStr">
        <is>
          <t xml:space="preserve">Lanus Oeste</t>
        </is>
      </c>
      <c r="B166" s="157" t="inlineStr">
        <is>
          <t xml:space="preserve">HELADO X  KILO</t>
        </is>
      </c>
      <c r="C166" s="157" t="inlineStr">
        <is>
          <t xml:space="preserve">1/2  KILO</t>
        </is>
      </c>
      <c r="D166" s="95">
        <v>21</v>
      </c>
      <c r="E166" s="96">
        <v>10.5</v>
      </c>
      <c r="F166" s="93">
        <v>167000</v>
      </c>
    </row>
    <row r="167">
      <c r="A167" s="156" t="inlineStr">
        <is>
          <t xml:space="preserve">Lanus Oeste</t>
        </is>
      </c>
      <c r="B167" s="157" t="inlineStr">
        <is>
          <t xml:space="preserve">HELADO X BOCHA</t>
        </is>
      </c>
      <c r="C167" s="157" t="inlineStr">
        <is>
          <t xml:space="preserve">GIGANTE 2 BOCHAS</t>
        </is>
      </c>
      <c r="D167" s="95">
        <v>10</v>
      </c>
      <c r="E167" s="96">
        <v>1.6</v>
      </c>
      <c r="F167" s="93">
        <v>35000</v>
      </c>
    </row>
    <row r="168">
      <c r="A168" s="156" t="inlineStr">
        <is>
          <t xml:space="preserve">Lanus Oeste</t>
        </is>
      </c>
      <c r="B168" s="157" t="inlineStr">
        <is>
          <t xml:space="preserve">HELADO X BOCHA</t>
        </is>
      </c>
      <c r="C168" s="157" t="inlineStr">
        <is>
          <t xml:space="preserve">MINI GIGANTE</t>
        </is>
      </c>
      <c r="D168" s="95">
        <v>8</v>
      </c>
      <c r="E168" s="96">
        <v>0.64</v>
      </c>
      <c r="F168" s="93">
        <v>22400</v>
      </c>
    </row>
    <row r="169">
      <c r="A169" s="156" t="inlineStr">
        <is>
          <t xml:space="preserve">Lanus Oeste</t>
        </is>
      </c>
      <c r="B169" s="157" t="inlineStr">
        <is>
          <t xml:space="preserve">HELADO X BOCHA</t>
        </is>
      </c>
      <c r="C169" s="157" t="inlineStr">
        <is>
          <t xml:space="preserve">GIGANTE 3 BOCHAS</t>
        </is>
      </c>
      <c r="D169" s="95">
        <v>6</v>
      </c>
      <c r="E169" s="96">
        <v>1.44</v>
      </c>
      <c r="F169" s="93">
        <v>23400</v>
      </c>
    </row>
    <row r="170">
      <c r="A170" s="156" t="inlineStr">
        <is>
          <t xml:space="preserve">Lanus Oeste</t>
        </is>
      </c>
      <c r="B170" s="157" t="inlineStr">
        <is>
          <t xml:space="preserve">HELADO X BOCHA</t>
        </is>
      </c>
      <c r="C170" s="157" t="inlineStr">
        <is>
          <t xml:space="preserve">SUPER GRIDITO</t>
        </is>
      </c>
      <c r="D170" s="95">
        <v>3</v>
      </c>
      <c r="E170" s="96">
        <v>0.24</v>
      </c>
      <c r="F170" s="93">
        <v>8700</v>
      </c>
    </row>
    <row r="171">
      <c r="A171" s="156" t="inlineStr">
        <is>
          <t xml:space="preserve">Lanus Oeste</t>
        </is>
      </c>
      <c r="B171" s="157" t="inlineStr">
        <is>
          <t xml:space="preserve">HELADO X BOCHA</t>
        </is>
      </c>
      <c r="C171" s="157" t="inlineStr">
        <is>
          <t xml:space="preserve">TACITA 2 BOCHAS</t>
        </is>
      </c>
      <c r="D171" s="95">
        <v>2</v>
      </c>
      <c r="E171" s="96">
        <v>0.32</v>
      </c>
      <c r="F171" s="93">
        <v>7000</v>
      </c>
    </row>
    <row r="172">
      <c r="A172" s="156" t="inlineStr">
        <is>
          <t xml:space="preserve">Lanus Oeste</t>
        </is>
      </c>
      <c r="B172" s="157" t="inlineStr">
        <is>
          <t xml:space="preserve">HELADO X BOCHA</t>
        </is>
      </c>
      <c r="C172" s="157" t="inlineStr">
        <is>
          <t xml:space="preserve">TACITA 1 BOCHA</t>
        </is>
      </c>
      <c r="D172" s="95">
        <v>1</v>
      </c>
      <c r="E172" s="96">
        <v>0.08</v>
      </c>
      <c r="F172" s="93">
        <v>2800</v>
      </c>
    </row>
    <row r="173">
      <c r="A173" s="156" t="inlineStr">
        <is>
          <t xml:space="preserve">Lanus Oeste</t>
        </is>
      </c>
      <c r="B173" s="157" t="inlineStr">
        <is>
          <t xml:space="preserve">HELADO X BOCHA</t>
        </is>
      </c>
      <c r="C173" s="157" t="inlineStr">
        <is>
          <t xml:space="preserve">GRIDOTOY 1 B. CUCU. PUQUI MUCHI</t>
        </is>
      </c>
      <c r="D173" s="95">
        <v>1</v>
      </c>
      <c r="E173" s="96">
        <v>0.08</v>
      </c>
      <c r="F173" s="93">
        <v>4400</v>
      </c>
    </row>
    <row r="174">
      <c r="A174" s="156" t="inlineStr">
        <is>
          <t xml:space="preserve">Lanus Oeste</t>
        </is>
      </c>
      <c r="B174" s="157" t="inlineStr">
        <is>
          <t xml:space="preserve">LINEAS ESPECIALES</t>
        </is>
      </c>
      <c r="C174" s="157" t="inlineStr">
        <is>
          <t xml:space="preserve">HEL. "DUL. EQUI. FRUTI" 80 GR XU.</t>
        </is>
      </c>
      <c r="D174" s="95">
        <v>3</v>
      </c>
      <c r="E174" s="96">
        <v>0.24</v>
      </c>
      <c r="F174" s="93">
        <v>9300</v>
      </c>
    </row>
    <row r="175">
      <c r="A175" s="156" t="inlineStr">
        <is>
          <t xml:space="preserve">Lanus Oeste</t>
        </is>
      </c>
      <c r="B175" s="157" t="inlineStr">
        <is>
          <t xml:space="preserve">LINEAS ESPECIALES</t>
        </is>
      </c>
      <c r="C175" s="157" t="inlineStr">
        <is>
          <t xml:space="preserve">YOGURT HEL. MANGO-MARACUYÁ XU.</t>
        </is>
      </c>
      <c r="D175" s="95">
        <v>2</v>
      </c>
      <c r="E175" s="96">
        <v>0.16</v>
      </c>
      <c r="F175" s="93">
        <v>6200</v>
      </c>
    </row>
    <row r="176">
      <c r="A176" s="156" t="inlineStr">
        <is>
          <t xml:space="preserve">Lanus Oeste</t>
        </is>
      </c>
      <c r="B176" s="157" t="inlineStr">
        <is>
          <t xml:space="preserve">LINEAS ESPECIALES</t>
        </is>
      </c>
      <c r="C176" s="157" t="inlineStr">
        <is>
          <t xml:space="preserve">HEL. "DUL. EQUI. CHOCO" 80 GR XU.</t>
        </is>
      </c>
      <c r="D176" s="95">
        <v>1</v>
      </c>
      <c r="E176" s="96">
        <v>0.08</v>
      </c>
      <c r="F176" s="93">
        <v>3100</v>
      </c>
    </row>
    <row r="177">
      <c r="A177" s="156" t="inlineStr">
        <is>
          <t xml:space="preserve">Lanus Oeste</t>
        </is>
      </c>
      <c r="B177" s="157" t="inlineStr">
        <is>
          <t xml:space="preserve">LINEAS ESPECIALES</t>
        </is>
      </c>
      <c r="C177" s="157" t="inlineStr">
        <is>
          <t xml:space="preserve">YOGURT HEL. FRUTILLA X U</t>
        </is>
      </c>
      <c r="D177" s="95">
        <v>1</v>
      </c>
      <c r="E177" s="96">
        <v>0.08</v>
      </c>
      <c r="F177" s="93">
        <v>3100</v>
      </c>
    </row>
    <row r="178">
      <c r="A178" s="156" t="inlineStr">
        <is>
          <t xml:space="preserve">Lanus Oeste</t>
        </is>
      </c>
      <c r="B178" s="157" t="inlineStr">
        <is>
          <t xml:space="preserve">PALITOS</t>
        </is>
      </c>
      <c r="C178" s="157" t="inlineStr">
        <is>
          <t xml:space="preserve">PALITO BOMBÓN X10 UN.</t>
        </is>
      </c>
      <c r="D178" s="95">
        <v>13</v>
      </c>
      <c r="E178" s="96">
        <v>6.5</v>
      </c>
      <c r="F178" s="93">
        <v>87600</v>
      </c>
    </row>
    <row r="179">
      <c r="A179" s="156" t="inlineStr">
        <is>
          <t xml:space="preserve">Lanus Oeste</t>
        </is>
      </c>
      <c r="B179" s="157" t="inlineStr">
        <is>
          <t xml:space="preserve">PALITOS</t>
        </is>
      </c>
      <c r="C179" s="157" t="inlineStr">
        <is>
          <t xml:space="preserve">P.FRUT.FRUTILLA EN CAJA X 20</t>
        </is>
      </c>
      <c r="D179" s="95">
        <v>7</v>
      </c>
      <c r="E179" s="96">
        <v>7.7</v>
      </c>
      <c r="F179" s="93">
        <v>73500</v>
      </c>
    </row>
    <row r="180">
      <c r="A180" s="156" t="inlineStr">
        <is>
          <t xml:space="preserve">Lanus Oeste</t>
        </is>
      </c>
      <c r="B180" s="157" t="inlineStr">
        <is>
          <t xml:space="preserve">PALITOS</t>
        </is>
      </c>
      <c r="C180" s="157" t="inlineStr">
        <is>
          <t xml:space="preserve">PALITO CREMOSO FRUTILLA X10 U.</t>
        </is>
      </c>
      <c r="D180" s="95">
        <v>7</v>
      </c>
      <c r="E180" s="96">
        <v>2.87</v>
      </c>
      <c r="F180" s="93">
        <v>40600</v>
      </c>
    </row>
    <row r="181">
      <c r="A181" s="156" t="inlineStr">
        <is>
          <t xml:space="preserve">Lanus Oeste</t>
        </is>
      </c>
      <c r="B181" s="157" t="inlineStr">
        <is>
          <t xml:space="preserve">PALITOS</t>
        </is>
      </c>
      <c r="C181" s="157" t="inlineStr">
        <is>
          <t xml:space="preserve">PALITO FRUTAL FRUTILLA X UNIDAD</t>
        </is>
      </c>
      <c r="D181" s="95">
        <v>5</v>
      </c>
      <c r="E181" s="96">
        <v>0.275</v>
      </c>
      <c r="F181" s="93">
        <v>4000</v>
      </c>
    </row>
    <row r="182">
      <c r="A182" s="156" t="inlineStr">
        <is>
          <t xml:space="preserve">Lanus Oeste</t>
        </is>
      </c>
      <c r="B182" s="157" t="inlineStr">
        <is>
          <t xml:space="preserve">PALITOS</t>
        </is>
      </c>
      <c r="C182" s="157" t="inlineStr">
        <is>
          <t xml:space="preserve">PALITO FRUTAL NARANJA X10 U.</t>
        </is>
      </c>
      <c r="D182" s="95">
        <v>3</v>
      </c>
      <c r="E182" s="96">
        <v>1.65</v>
      </c>
      <c r="F182" s="93">
        <v>15900</v>
      </c>
    </row>
    <row r="183">
      <c r="A183" s="156" t="inlineStr">
        <is>
          <t xml:space="preserve">Lanus Oeste</t>
        </is>
      </c>
      <c r="B183" s="157" t="inlineStr">
        <is>
          <t xml:space="preserve">PALITOS</t>
        </is>
      </c>
      <c r="C183" s="157" t="inlineStr">
        <is>
          <t xml:space="preserve">PALITO CREMOSO AMERICANA X10 U.</t>
        </is>
      </c>
      <c r="D183" s="95">
        <v>2</v>
      </c>
      <c r="E183" s="96">
        <v>0.82</v>
      </c>
      <c r="F183" s="93">
        <v>11600</v>
      </c>
    </row>
    <row r="184">
      <c r="A184" s="156" t="inlineStr">
        <is>
          <t xml:space="preserve">Lanus Oeste</t>
        </is>
      </c>
      <c r="B184" s="157" t="inlineStr">
        <is>
          <t xml:space="preserve">PALITOS</t>
        </is>
      </c>
      <c r="C184" s="157" t="inlineStr">
        <is>
          <t xml:space="preserve">PALITO BOMBON X UNIDAD</t>
        </is>
      </c>
      <c r="D184" s="95">
        <v>2</v>
      </c>
      <c r="E184" s="96">
        <v>0.1</v>
      </c>
      <c r="F184" s="93">
        <v>2200</v>
      </c>
    </row>
    <row r="185">
      <c r="A185" s="156" t="inlineStr">
        <is>
          <t xml:space="preserve">Lanus Oeste</t>
        </is>
      </c>
      <c r="B185" s="157" t="inlineStr">
        <is>
          <t xml:space="preserve">PALITOS</t>
        </is>
      </c>
      <c r="C185" s="157" t="inlineStr">
        <is>
          <t xml:space="preserve">PALITO FRUTAL NARANJA X UNIDAD</t>
        </is>
      </c>
      <c r="D185" s="95">
        <v>1</v>
      </c>
      <c r="E185" s="96">
        <v>0.055</v>
      </c>
      <c r="F185" s="93">
        <v>800</v>
      </c>
    </row>
    <row r="186">
      <c r="A186" s="156" t="inlineStr">
        <is>
          <t xml:space="preserve">Lanus Oeste</t>
        </is>
      </c>
      <c r="B186" s="157" t="inlineStr">
        <is>
          <t xml:space="preserve">PALITOS</t>
        </is>
      </c>
      <c r="C186" s="157" t="inlineStr">
        <is>
          <t xml:space="preserve">PALITO FRUTAL LIMON X UNIDAD</t>
        </is>
      </c>
      <c r="D186" s="95">
        <v>1</v>
      </c>
      <c r="E186" s="96">
        <v>0.055</v>
      </c>
      <c r="F186" s="93">
        <v>800</v>
      </c>
    </row>
    <row r="187">
      <c r="A187" s="156" t="inlineStr">
        <is>
          <t xml:space="preserve">Lanus Oeste</t>
        </is>
      </c>
      <c r="B187" s="157" t="inlineStr">
        <is>
          <t xml:space="preserve">PALITOS</t>
        </is>
      </c>
      <c r="C187" s="157" t="inlineStr">
        <is>
          <t xml:space="preserve">PALITO BOMBÓN DDL X 10</t>
        </is>
      </c>
      <c r="D187" s="95">
        <v>1</v>
      </c>
      <c r="E187" s="96">
        <v>0.5</v>
      </c>
      <c r="F187" s="93">
        <v>7300</v>
      </c>
    </row>
    <row r="188">
      <c r="A188" s="156" t="inlineStr">
        <is>
          <t xml:space="preserve">Lanus Oeste</t>
        </is>
      </c>
      <c r="B188" s="157" t="inlineStr">
        <is>
          <t xml:space="preserve">PALITOS</t>
        </is>
      </c>
      <c r="C188" s="157" t="inlineStr">
        <is>
          <t xml:space="preserve">PALITO BOMBON DDL X UN.</t>
        </is>
      </c>
      <c r="D188" s="95">
        <v>1</v>
      </c>
      <c r="E188" s="96">
        <v>0.05</v>
      </c>
      <c r="F188" s="93">
        <v>1100</v>
      </c>
    </row>
    <row r="189">
      <c r="A189" s="156" t="inlineStr">
        <is>
          <t xml:space="preserve">Lanus Oeste</t>
        </is>
      </c>
      <c r="B189" s="157" t="inlineStr">
        <is>
          <t xml:space="preserve">POSTRES</t>
        </is>
      </c>
      <c r="C189" s="157" t="inlineStr">
        <is>
          <t xml:space="preserve">BOMBON ESCOCES X UNIDAD</t>
        </is>
      </c>
      <c r="D189" s="95">
        <v>12</v>
      </c>
      <c r="E189" s="96">
        <v>1.08</v>
      </c>
      <c r="F189" s="93">
        <v>28800</v>
      </c>
    </row>
    <row r="190">
      <c r="A190" s="156" t="inlineStr">
        <is>
          <t xml:space="preserve">Lanus Oeste</t>
        </is>
      </c>
      <c r="B190" s="157" t="inlineStr">
        <is>
          <t xml:space="preserve">POSTRES</t>
        </is>
      </c>
      <c r="C190" s="157" t="inlineStr">
        <is>
          <t xml:space="preserve">BOMBON FRUTEZZA X8U.</t>
        </is>
      </c>
      <c r="D190" s="95">
        <v>10</v>
      </c>
      <c r="E190" s="96">
        <v>5.92</v>
      </c>
      <c r="F190" s="93">
        <v>127680</v>
      </c>
    </row>
    <row r="191">
      <c r="A191" s="156" t="inlineStr">
        <is>
          <t xml:space="preserve">Lanus Oeste</t>
        </is>
      </c>
      <c r="B191" s="157" t="inlineStr">
        <is>
          <t xml:space="preserve">POSTRES</t>
        </is>
      </c>
      <c r="C191" s="157" t="inlineStr">
        <is>
          <t xml:space="preserve">BOMBÓN CHOCO AVELLANAS X UN</t>
        </is>
      </c>
      <c r="D191" s="95">
        <v>9</v>
      </c>
      <c r="E191" s="96">
        <v>0.72</v>
      </c>
      <c r="F191" s="93">
        <v>21600</v>
      </c>
    </row>
    <row r="192">
      <c r="A192" s="156" t="inlineStr">
        <is>
          <t xml:space="preserve">Lanus Oeste</t>
        </is>
      </c>
      <c r="B192" s="157" t="inlineStr">
        <is>
          <t xml:space="preserve">POSTRES</t>
        </is>
      </c>
      <c r="C192" s="157" t="inlineStr">
        <is>
          <t xml:space="preserve">BOMBON ESCOCES EN CAJA X 8</t>
        </is>
      </c>
      <c r="D192" s="95">
        <v>9</v>
      </c>
      <c r="E192" s="96">
        <v>6.48</v>
      </c>
      <c r="F192" s="93">
        <v>118690</v>
      </c>
    </row>
    <row r="193">
      <c r="A193" s="156" t="inlineStr">
        <is>
          <t xml:space="preserve">Lanus Oeste</t>
        </is>
      </c>
      <c r="B193" s="157" t="inlineStr">
        <is>
          <t xml:space="preserve">POSTRES</t>
        </is>
      </c>
      <c r="C193" s="157" t="inlineStr">
        <is>
          <t xml:space="preserve">BOMBON CROCANTE EN CAJA X 8</t>
        </is>
      </c>
      <c r="D193" s="95">
        <v>5</v>
      </c>
      <c r="E193" s="96">
        <v>2.8</v>
      </c>
      <c r="F193" s="93">
        <v>66500</v>
      </c>
    </row>
    <row r="194">
      <c r="A194" s="156" t="inlineStr">
        <is>
          <t xml:space="preserve">Lanus Oeste</t>
        </is>
      </c>
      <c r="B194" s="157" t="inlineStr">
        <is>
          <t xml:space="preserve">POSTRES</t>
        </is>
      </c>
      <c r="C194" s="157" t="inlineStr">
        <is>
          <t xml:space="preserve">BOMBON FRUTEZZA XU.</t>
        </is>
      </c>
      <c r="D194" s="95">
        <v>4</v>
      </c>
      <c r="E194" s="96">
        <v>0.296</v>
      </c>
      <c r="F194" s="93">
        <v>8400</v>
      </c>
    </row>
    <row r="195">
      <c r="A195" s="156" t="inlineStr">
        <is>
          <t xml:space="preserve">Lanus Oeste</t>
        </is>
      </c>
      <c r="B195" s="157" t="inlineStr">
        <is>
          <t xml:space="preserve">POSTRES</t>
        </is>
      </c>
      <c r="C195" s="157" t="inlineStr">
        <is>
          <t xml:space="preserve">BOMBÓN CHOCO AVELLANAS CAJA X 8</t>
        </is>
      </c>
      <c r="D195" s="95">
        <v>3</v>
      </c>
      <c r="E195" s="96">
        <v>1.92</v>
      </c>
      <c r="F195" s="93">
        <v>42900</v>
      </c>
    </row>
    <row r="196">
      <c r="A196" s="156" t="inlineStr">
        <is>
          <t xml:space="preserve">Lanus Oeste</t>
        </is>
      </c>
      <c r="B196" s="157" t="inlineStr">
        <is>
          <t xml:space="preserve">POSTRES</t>
        </is>
      </c>
      <c r="C196" s="157" t="inlineStr">
        <is>
          <t xml:space="preserve">CROCANTINO</t>
        </is>
      </c>
      <c r="D196" s="95">
        <v>2</v>
      </c>
      <c r="E196" s="96">
        <v>1.3</v>
      </c>
      <c r="F196" s="93">
        <v>16050</v>
      </c>
    </row>
    <row r="197">
      <c r="A197" s="156" t="inlineStr">
        <is>
          <t xml:space="preserve">Lanus Oeste</t>
        </is>
      </c>
      <c r="B197" s="157" t="inlineStr">
        <is>
          <t xml:space="preserve">POSTRES</t>
        </is>
      </c>
      <c r="C197" s="157" t="inlineStr">
        <is>
          <t xml:space="preserve">ALMENDRADO EN CAJA X 8</t>
        </is>
      </c>
      <c r="D197" s="95">
        <v>2</v>
      </c>
      <c r="E197" s="96">
        <v>1.36</v>
      </c>
      <c r="F197" s="93">
        <v>19260</v>
      </c>
    </row>
    <row r="198">
      <c r="A198" s="156" t="inlineStr">
        <is>
          <t xml:space="preserve">Lanus Oeste</t>
        </is>
      </c>
      <c r="B198" s="157" t="inlineStr">
        <is>
          <t xml:space="preserve">POSTRES</t>
        </is>
      </c>
      <c r="C198" s="157" t="inlineStr">
        <is>
          <t xml:space="preserve">CASATTA EN CAJA X 8</t>
        </is>
      </c>
      <c r="D198" s="95">
        <v>1</v>
      </c>
      <c r="E198" s="96">
        <v>0.6</v>
      </c>
      <c r="F198" s="93">
        <v>10700</v>
      </c>
    </row>
    <row r="199">
      <c r="A199" s="156" t="inlineStr">
        <is>
          <t xml:space="preserve">Lanus Oeste</t>
        </is>
      </c>
      <c r="B199" s="157" t="inlineStr">
        <is>
          <t xml:space="preserve">POSTRES</t>
        </is>
      </c>
      <c r="C199" s="157" t="inlineStr">
        <is>
          <t xml:space="preserve">CASATTA X UNIDAD</t>
        </is>
      </c>
      <c r="D199" s="95">
        <v>1</v>
      </c>
      <c r="E199" s="96">
        <v>0.075</v>
      </c>
      <c r="F199" s="93">
        <v>1800</v>
      </c>
    </row>
    <row r="200">
      <c r="A200" s="156" t="inlineStr">
        <is>
          <t xml:space="preserve">Lanus Oeste</t>
        </is>
      </c>
      <c r="B200" s="157" t="inlineStr">
        <is>
          <t xml:space="preserve">POSTRES</t>
        </is>
      </c>
      <c r="C200" s="157" t="inlineStr">
        <is>
          <t xml:space="preserve">BARRA DELICIA CHOCOLATE Y MANI</t>
        </is>
      </c>
      <c r="D200" s="95">
        <v>1</v>
      </c>
      <c r="E200" s="96">
        <v>0.6</v>
      </c>
      <c r="F200" s="93">
        <v>5350</v>
      </c>
    </row>
    <row r="201">
      <c r="A201" s="156" t="inlineStr">
        <is>
          <t xml:space="preserve">Lanus Oeste</t>
        </is>
      </c>
      <c r="B201" s="157" t="inlineStr">
        <is>
          <t xml:space="preserve">POSTRES</t>
        </is>
      </c>
      <c r="C201" s="157" t="inlineStr">
        <is>
          <t xml:space="preserve">ALFAJOR SECRETO COOKIES AND CREAM X UN.</t>
        </is>
      </c>
      <c r="D201" s="95">
        <v>1</v>
      </c>
      <c r="E201" s="96">
        <v>0.083</v>
      </c>
      <c r="F201" s="93">
        <v>2500</v>
      </c>
    </row>
    <row r="202">
      <c r="A202" s="156" t="inlineStr">
        <is>
          <t xml:space="preserve">Lanus Oeste</t>
        </is>
      </c>
      <c r="B202" s="157" t="inlineStr">
        <is>
          <t xml:space="preserve">POSTRES</t>
        </is>
      </c>
      <c r="C202" s="157" t="inlineStr">
        <is>
          <t xml:space="preserve">ALFAJOR SECRETO COOKIES AND CREAM</t>
        </is>
      </c>
      <c r="D202" s="95">
        <v>1</v>
      </c>
      <c r="E202" s="96">
        <v>0.498</v>
      </c>
      <c r="F202" s="93">
        <v>14000</v>
      </c>
    </row>
    <row r="203">
      <c r="A203" s="156" t="inlineStr">
        <is>
          <t xml:space="preserve">Lanus Oeste</t>
        </is>
      </c>
      <c r="B203" s="157" t="inlineStr">
        <is>
          <t xml:space="preserve">POSTRES</t>
        </is>
      </c>
      <c r="C203" s="157" t="inlineStr">
        <is>
          <t xml:space="preserve">BOMBON SUIZO EN CAJA X 8</t>
        </is>
      </c>
      <c r="D203" s="95">
        <v>1</v>
      </c>
      <c r="E203" s="96">
        <v>0.68</v>
      </c>
      <c r="F203" s="93">
        <v>13800</v>
      </c>
    </row>
    <row r="204">
      <c r="A204" s="156" t="inlineStr">
        <is>
          <t xml:space="preserve">Lanus Oeste</t>
        </is>
      </c>
      <c r="B204" s="157" t="inlineStr">
        <is>
          <t xml:space="preserve">TENTACION</t>
        </is>
      </c>
      <c r="C204" s="157" t="inlineStr">
        <is>
          <t xml:space="preserve">T.1 LT FRUTILLA</t>
        </is>
      </c>
      <c r="D204" s="95">
        <v>3</v>
      </c>
      <c r="E204" s="96">
        <v>2.07</v>
      </c>
      <c r="F204" s="93">
        <v>26400</v>
      </c>
    </row>
    <row r="205">
      <c r="A205" s="156" t="inlineStr">
        <is>
          <t xml:space="preserve">Lanus Oeste</t>
        </is>
      </c>
      <c r="B205" s="157" t="inlineStr">
        <is>
          <t xml:space="preserve">TENTACION</t>
        </is>
      </c>
      <c r="C205" s="157" t="inlineStr">
        <is>
          <t xml:space="preserve">T.DDLECHE</t>
        </is>
      </c>
      <c r="D205" s="95">
        <v>2</v>
      </c>
      <c r="E205" s="96">
        <v>1.38</v>
      </c>
      <c r="F205" s="93">
        <v>17600</v>
      </c>
    </row>
    <row r="206">
      <c r="A206" s="156" t="inlineStr">
        <is>
          <t xml:space="preserve">Lanus Oeste</t>
        </is>
      </c>
      <c r="B206" s="157" t="inlineStr">
        <is>
          <t xml:space="preserve">TENTACION</t>
        </is>
      </c>
      <c r="C206" s="157" t="inlineStr">
        <is>
          <t xml:space="preserve">TODDY GALLETITAS</t>
        </is>
      </c>
      <c r="D206" s="95">
        <v>2</v>
      </c>
      <c r="E206" s="96">
        <v>1.38</v>
      </c>
      <c r="F206" s="93">
        <v>17600</v>
      </c>
    </row>
    <row r="207">
      <c r="A207" s="156" t="inlineStr">
        <is>
          <t xml:space="preserve">Lanus Oeste</t>
        </is>
      </c>
      <c r="B207" s="157" t="inlineStr">
        <is>
          <t xml:space="preserve">TENTACION</t>
        </is>
      </c>
      <c r="C207" s="157" t="inlineStr">
        <is>
          <t xml:space="preserve">T.1 LT DDL GRANIZADO</t>
        </is>
      </c>
      <c r="D207" s="95">
        <v>2</v>
      </c>
      <c r="E207" s="96">
        <v>1.38</v>
      </c>
      <c r="F207" s="93">
        <v>17600</v>
      </c>
    </row>
    <row r="208">
      <c r="A208" s="156" t="inlineStr">
        <is>
          <t xml:space="preserve">Lanus Oeste</t>
        </is>
      </c>
      <c r="B208" s="157" t="inlineStr">
        <is>
          <t xml:space="preserve">TENTACION</t>
        </is>
      </c>
      <c r="C208" s="157" t="inlineStr">
        <is>
          <t xml:space="preserve">T. GRANIZADO</t>
        </is>
      </c>
      <c r="D208" s="95">
        <v>1</v>
      </c>
      <c r="E208" s="96">
        <v>0.69</v>
      </c>
      <c r="F208" s="93">
        <v>8800</v>
      </c>
    </row>
    <row r="209">
      <c r="A209" s="156" t="inlineStr">
        <is>
          <t xml:space="preserve">Lanus Oeste</t>
        </is>
      </c>
      <c r="B209" s="157" t="inlineStr">
        <is>
          <t xml:space="preserve">TORTAS</t>
        </is>
      </c>
      <c r="C209" s="157" t="inlineStr">
        <is>
          <t xml:space="preserve">TORTA FRUTILLAS CON CREMA</t>
        </is>
      </c>
      <c r="D209" s="95">
        <v>6</v>
      </c>
      <c r="E209" s="96">
        <v>6.27</v>
      </c>
      <c r="F209" s="93">
        <v>105000</v>
      </c>
    </row>
    <row r="210">
      <c r="A210" s="156" t="inlineStr">
        <is>
          <t xml:space="preserve">Lanus Oeste</t>
        </is>
      </c>
      <c r="B210" s="157" t="inlineStr">
        <is>
          <t xml:space="preserve">TORTAS</t>
        </is>
      </c>
      <c r="C210" s="157" t="inlineStr">
        <is>
          <t xml:space="preserve">TORTA COOKIES AND CREAM</t>
        </is>
      </c>
      <c r="D210" s="95">
        <v>6</v>
      </c>
      <c r="E210" s="96">
        <v>6.27</v>
      </c>
      <c r="F210" s="93">
        <v>105000</v>
      </c>
    </row>
    <row r="211">
      <c r="A211" s="156" t="inlineStr">
        <is>
          <t xml:space="preserve">Lanus Oeste</t>
        </is>
      </c>
      <c r="B211" s="157" t="inlineStr">
        <is>
          <t xml:space="preserve">TORTAS</t>
        </is>
      </c>
      <c r="C211" s="157" t="inlineStr">
        <is>
          <t xml:space="preserve">TORTA GRIDO RELLENA</t>
        </is>
      </c>
      <c r="D211" s="95">
        <v>2</v>
      </c>
      <c r="E211" s="96">
        <v>2.09</v>
      </c>
      <c r="F211" s="93">
        <v>35000</v>
      </c>
    </row>
    <row r="212" ht="20" customHeight="1">
      <c r="A212" s="162" t="inlineStr">
        <is>
          <t xml:space="preserve">TOTAL</t>
        </is>
      </c>
      <c r="B212" s="163" t="inlineStr">
        <is>
          <t xml:space="preserve"/>
        </is>
      </c>
      <c r="C212" s="163" t="inlineStr">
        <is>
          <t xml:space="preserve"/>
        </is>
      </c>
      <c r="D212" s="100">
        <f>SUM(D5:D211)</f>
        <v>966</v>
      </c>
      <c r="E212" s="101">
        <f>SUM(E5:E211)</f>
        <v>411.82800000000003</v>
      </c>
      <c r="F212" s="98">
        <f>SUM(F5:F211)</f>
        <v>7277663.05</v>
      </c>
    </row>
  </sheetData>
  <autoFilter ref="A4:F211"/>
  <mergeCells count="6">
    <mergeCell ref="A1:M1"/>
    <mergeCell ref="A2:M2"/>
    <mergeCell ref="H4:M4"/>
    <mergeCell ref="H26:K26"/>
    <mergeCell ref="H48:K48"/>
    <mergeCell ref="H70:K70"/>
  </mergeCells>
  <conditionalFormatting sqref="D5:D211">
    <cfRule type="dataBar" priority="1">
      <dataBar>
        <cfvo type="min"/>
        <cfvo type="max"/>
        <color rgb="FFC39B77"/>
      </dataBar>
    </cfRule>
  </conditionalFormatting>
  <conditionalFormatting sqref="L6:L15">
    <cfRule type="dataBar" priority="2">
      <dataBar>
        <cfvo type="min"/>
        <cfvo type="max"/>
        <color rgb="FF1E2D3D"/>
      </dataBar>
    </cfRule>
  </conditionalFormatting>
  <conditionalFormatting sqref="I28:I37">
    <cfRule type="dataBar" priority="3">
      <dataBar>
        <cfvo type="min"/>
        <cfvo type="max"/>
        <color rgb="FF4A7C59"/>
      </dataBar>
    </cfRule>
  </conditionalFormatting>
  <conditionalFormatting sqref="I50:I59">
    <cfRule type="dataBar" priority="4">
      <dataBar>
        <cfvo type="min"/>
        <cfvo type="max"/>
        <color rgb="FF2E4053"/>
      </dataBar>
    </cfRule>
  </conditionalFormatting>
  <conditionalFormatting sqref="I72:I81">
    <cfRule type="dataBar" priority="5">
      <dataBar>
        <cfvo type="min"/>
        <cfvo type="max"/>
        <color rgb="FF784212"/>
      </dataBar>
    </cfRule>
  </conditionalFormatting>
  <pageMargins left="0.4" right="0.4" top="0.5" bottom="0.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618D"/>
  </sheetPr>
  <sheetViews>
    <sheetView showGridLines="0" zoomScale="90" zoomScaleNormal="9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3" customWidth="1"/>
    <col min="2" max="2" width="36" customWidth="1"/>
    <col min="3" max="3" width="30" customWidth="1"/>
    <col min="4" max="4" width="10" customWidth="1"/>
    <col min="5" max="5" width="10" customWidth="1"/>
    <col min="6" max="6" width="13" customWidth="1"/>
    <col min="7" max="7" width="13" customWidth="1"/>
    <col min="8" max="8" width="3" customWidth="1"/>
    <col min="9" max="9" width="40" customWidth="1"/>
    <col min="10" max="10" width="12" customWidth="1"/>
    <col min="11" max="11" width="12" customWidth="1"/>
    <col min="12" max="12" width="12" customWidth="1"/>
    <col min="13" max="13" width="11" customWidth="1"/>
  </cols>
  <sheetData>
    <row r="1" ht="34" customHeight="1">
      <c r="A1" s="54" t="inlineStr">
        <is>
          <t xml:space="preserve">PROMOCIONES  ·  27/09/2026</t>
        </is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ht="20" customHeight="1">
      <c r="A2" s="55" t="inlineStr">
        <is>
          <t xml:space="preserve">Qué productos salieron dentro de cada promoción y cuántas veces se usó cada una. Fuente: DF_DTW.</t>
        </is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ht="8" customHeight="1"/>
    <row r="4" ht="22" customHeight="1">
      <c r="A4" s="186" t="inlineStr">
        <is>
          <t xml:space="preserve">Sucursal</t>
        </is>
      </c>
      <c r="B4" s="186" t="inlineStr">
        <is>
          <t xml:space="preserve">Promoción</t>
        </is>
      </c>
      <c r="C4" s="186" t="inlineStr">
        <is>
          <t xml:space="preserve">Producto</t>
        </is>
      </c>
      <c r="D4" s="186" t="inlineStr">
        <is>
          <t xml:space="preserve">Cantidad</t>
        </is>
      </c>
      <c r="E4" s="186" t="inlineStr">
        <is>
          <t xml:space="preserve">Kilos</t>
        </is>
      </c>
      <c r="F4" s="186" t="inlineStr">
        <is>
          <t xml:space="preserve">Venta</t>
        </is>
      </c>
      <c r="G4" s="186" t="inlineStr">
        <is>
          <t xml:space="preserve">Descuento</t>
        </is>
      </c>
      <c r="I4" s="102" t="inlineStr">
        <is>
          <t xml:space="preserve">USOS POR PROMOCIÓN</t>
        </is>
      </c>
      <c r="J4" s="102"/>
      <c r="K4" s="102"/>
      <c r="L4" s="102"/>
      <c r="M4" s="102"/>
    </row>
    <row r="5" ht="30" customHeight="1">
      <c r="A5" s="146" t="inlineStr">
        <is>
          <t xml:space="preserve">Fiorito</t>
        </is>
      </c>
      <c r="B5" s="147" t="inlineStr">
        <is>
          <t xml:space="preserve">20% Jubilados Torta</t>
        </is>
      </c>
      <c r="C5" s="147" t="inlineStr">
        <is>
          <t xml:space="preserve">TORTA GRIDO RELLENA</t>
        </is>
      </c>
      <c r="D5" s="85">
        <v>1</v>
      </c>
      <c r="E5" s="86">
        <v>1.045</v>
      </c>
      <c r="F5" s="83">
        <v>14000</v>
      </c>
      <c r="G5" s="83">
        <v>3500</v>
      </c>
      <c r="I5" s="81" t="inlineStr">
        <is>
          <t xml:space="preserve">Promoción</t>
        </is>
      </c>
      <c r="J5" s="165" t="inlineStr">
        <is>
          <t xml:space="preserve">Fiorito</t>
        </is>
      </c>
      <c r="K5" s="166" t="inlineStr">
        <is>
          <t xml:space="preserve">Escalada</t>
        </is>
      </c>
      <c r="L5" s="167" t="inlineStr">
        <is>
          <t xml:space="preserve">Lanus Oeste</t>
        </is>
      </c>
      <c r="M5" s="141" t="inlineStr">
        <is>
          <t xml:space="preserve">Total</t>
        </is>
      </c>
    </row>
    <row r="6">
      <c r="A6" s="146" t="inlineStr">
        <is>
          <t xml:space="preserve">Fiorito</t>
        </is>
      </c>
      <c r="B6" s="147" t="inlineStr">
        <is>
          <t xml:space="preserve">Promo-1kg+1/4 PEYA</t>
        </is>
      </c>
      <c r="C6" s="147" t="inlineStr">
        <is>
          <t xml:space="preserve">1 KILO</t>
        </is>
      </c>
      <c r="D6" s="85">
        <v>2</v>
      </c>
      <c r="E6" s="86">
        <v>2</v>
      </c>
      <c r="F6" s="83">
        <v>27400</v>
      </c>
      <c r="G6" s="83">
        <v>0</v>
      </c>
      <c r="I6" s="187" t="inlineStr">
        <is>
          <t xml:space="preserve">20% Jubilados Nuevo</t>
        </is>
      </c>
      <c r="J6" s="169">
        <v>0</v>
      </c>
      <c r="K6" s="169">
        <v>3</v>
      </c>
      <c r="L6" s="169">
        <v>12</v>
      </c>
      <c r="M6" s="170">
        <f>SUM(J6:L6)</f>
        <v>15</v>
      </c>
    </row>
    <row r="7">
      <c r="A7" s="146" t="inlineStr">
        <is>
          <t xml:space="preserve">Fiorito</t>
        </is>
      </c>
      <c r="B7" s="147" t="inlineStr">
        <is>
          <t xml:space="preserve">Promo-1kg+1/4 PEYA</t>
        </is>
      </c>
      <c r="C7" s="147" t="inlineStr">
        <is>
          <t xml:space="preserve">1/4  KILO</t>
        </is>
      </c>
      <c r="D7" s="85">
        <v>2</v>
      </c>
      <c r="E7" s="86">
        <v>0.5</v>
      </c>
      <c r="F7" s="83">
        <v>27400</v>
      </c>
      <c r="G7" s="83">
        <v>0</v>
      </c>
      <c r="I7" s="188" t="inlineStr">
        <is>
          <t xml:space="preserve">20% Jubilados Torta</t>
        </is>
      </c>
      <c r="J7" s="189">
        <v>1</v>
      </c>
      <c r="K7" s="189">
        <v>2</v>
      </c>
      <c r="L7" s="189">
        <v>0</v>
      </c>
      <c r="M7" s="190">
        <f>SUM(J7:L7)</f>
        <v>3</v>
      </c>
    </row>
    <row r="8">
      <c r="A8" s="151" t="inlineStr">
        <is>
          <t xml:space="preserve">Escalada</t>
        </is>
      </c>
      <c r="B8" s="152" t="inlineStr">
        <is>
          <t xml:space="preserve">20% Jubilados Nuevo</t>
        </is>
      </c>
      <c r="C8" s="152" t="inlineStr">
        <is>
          <t xml:space="preserve">ALMENDRADO EN CAJA X 8</t>
        </is>
      </c>
      <c r="D8" s="90">
        <v>1</v>
      </c>
      <c r="E8" s="91">
        <v>0.68</v>
      </c>
      <c r="F8" s="88">
        <v>8560</v>
      </c>
      <c r="G8" s="88">
        <v>2140</v>
      </c>
      <c r="I8" s="187" t="inlineStr">
        <is>
          <t xml:space="preserve">3X2 en Cuarto - Pedi Grido</t>
        </is>
      </c>
      <c r="J8" s="169">
        <v>0</v>
      </c>
      <c r="K8" s="169">
        <v>0</v>
      </c>
      <c r="L8" s="169">
        <v>3</v>
      </c>
      <c r="M8" s="170">
        <f>SUM(J8:L8)</f>
        <v>3</v>
      </c>
    </row>
    <row r="9">
      <c r="A9" s="151" t="inlineStr">
        <is>
          <t xml:space="preserve">Escalada</t>
        </is>
      </c>
      <c r="B9" s="152" t="inlineStr">
        <is>
          <t xml:space="preserve">20% Jubilados Nuevo</t>
        </is>
      </c>
      <c r="C9" s="152" t="inlineStr">
        <is>
          <t xml:space="preserve">TORTA FRUTILLAS CON CREMA</t>
        </is>
      </c>
      <c r="D9" s="90">
        <v>1</v>
      </c>
      <c r="E9" s="91">
        <v>1.045</v>
      </c>
      <c r="F9" s="88">
        <v>14000</v>
      </c>
      <c r="G9" s="88">
        <v>3500</v>
      </c>
      <c r="I9" s="188" t="inlineStr">
        <is>
          <t xml:space="preserve">Promo-1kg+1/4 PEYA</t>
        </is>
      </c>
      <c r="J9" s="189">
        <v>2</v>
      </c>
      <c r="K9" s="189">
        <v>0</v>
      </c>
      <c r="L9" s="189">
        <v>0</v>
      </c>
      <c r="M9" s="190">
        <f>SUM(J9:L9)</f>
        <v>2</v>
      </c>
    </row>
    <row r="10">
      <c r="A10" s="151" t="inlineStr">
        <is>
          <t xml:space="preserve">Escalada</t>
        </is>
      </c>
      <c r="B10" s="152" t="inlineStr">
        <is>
          <t xml:space="preserve">20% Jubilados Nuevo</t>
        </is>
      </c>
      <c r="C10" s="152" t="inlineStr">
        <is>
          <t xml:space="preserve">TORTA COOKIES AND CREAM</t>
        </is>
      </c>
      <c r="D10" s="90">
        <v>1</v>
      </c>
      <c r="E10" s="91">
        <v>1.045</v>
      </c>
      <c r="F10" s="88">
        <v>14000</v>
      </c>
      <c r="G10" s="88">
        <v>3500</v>
      </c>
      <c r="I10" s="187" t="inlineStr">
        <is>
          <t xml:space="preserve">Promo-2*1/4kg PEYA</t>
        </is>
      </c>
      <c r="J10" s="169">
        <v>0</v>
      </c>
      <c r="K10" s="169">
        <v>1</v>
      </c>
      <c r="L10" s="169">
        <v>0</v>
      </c>
      <c r="M10" s="170">
        <f>SUM(J10:L10)</f>
        <v>1</v>
      </c>
    </row>
    <row r="11">
      <c r="A11" s="151" t="inlineStr">
        <is>
          <t xml:space="preserve">Escalada</t>
        </is>
      </c>
      <c r="B11" s="152" t="inlineStr">
        <is>
          <t xml:space="preserve">20% Jubilados Torta</t>
        </is>
      </c>
      <c r="C11" s="152" t="inlineStr">
        <is>
          <t xml:space="preserve">TORTA GRIDO RELLENA</t>
        </is>
      </c>
      <c r="D11" s="90">
        <v>2</v>
      </c>
      <c r="E11" s="91">
        <v>2.09</v>
      </c>
      <c r="F11" s="88">
        <v>28000</v>
      </c>
      <c r="G11" s="88">
        <v>7000</v>
      </c>
      <c r="I11" s="188" t="inlineStr">
        <is>
          <t xml:space="preserve">Promo 1/2+1/4 Apps</t>
        </is>
      </c>
      <c r="J11" s="189">
        <v>0</v>
      </c>
      <c r="K11" s="189">
        <v>1</v>
      </c>
      <c r="L11" s="189">
        <v>0</v>
      </c>
      <c r="M11" s="190">
        <f>SUM(J11:L11)</f>
        <v>1</v>
      </c>
    </row>
    <row r="12">
      <c r="A12" s="151" t="inlineStr">
        <is>
          <t xml:space="preserve">Escalada</t>
        </is>
      </c>
      <c r="B12" s="152" t="inlineStr">
        <is>
          <t xml:space="preserve">Promo 1/2+1/4 Apps</t>
        </is>
      </c>
      <c r="C12" s="152" t="inlineStr">
        <is>
          <t xml:space="preserve">1/2  KILO</t>
        </is>
      </c>
      <c r="D12" s="90">
        <v>1</v>
      </c>
      <c r="E12" s="91">
        <v>0.5</v>
      </c>
      <c r="F12" s="88">
        <v>9350</v>
      </c>
      <c r="G12" s="88">
        <v>0</v>
      </c>
      <c r="I12" s="187" t="inlineStr">
        <is>
          <t xml:space="preserve">2 Kilos 25% OFF - Pedi Grido</t>
        </is>
      </c>
      <c r="J12" s="169">
        <v>0</v>
      </c>
      <c r="K12" s="169">
        <v>0</v>
      </c>
      <c r="L12" s="169">
        <v>1</v>
      </c>
      <c r="M12" s="170">
        <f>SUM(J12:L12)</f>
        <v>1</v>
      </c>
    </row>
    <row r="13">
      <c r="A13" s="151" t="inlineStr">
        <is>
          <t xml:space="preserve">Escalada</t>
        </is>
      </c>
      <c r="B13" s="152" t="inlineStr">
        <is>
          <t xml:space="preserve">Promo 1/2+1/4 Apps</t>
        </is>
      </c>
      <c r="C13" s="152" t="inlineStr">
        <is>
          <t xml:space="preserve">1/4  KILO</t>
        </is>
      </c>
      <c r="D13" s="90">
        <v>1</v>
      </c>
      <c r="E13" s="91">
        <v>0.25</v>
      </c>
      <c r="F13" s="88">
        <v>9350</v>
      </c>
      <c r="G13" s="88">
        <v>0</v>
      </c>
      <c r="I13" s="188" t="inlineStr">
        <is>
          <t xml:space="preserve">CAFE GRANDE 12 OZ T.NESPRESSO + MUFFIN</t>
        </is>
      </c>
      <c r="J13" s="189">
        <v>0</v>
      </c>
      <c r="K13" s="189">
        <v>0</v>
      </c>
      <c r="L13" s="189">
        <v>1</v>
      </c>
      <c r="M13" s="190">
        <f>SUM(J13:L13)</f>
        <v>1</v>
      </c>
    </row>
    <row r="14">
      <c r="A14" s="151" t="inlineStr">
        <is>
          <t xml:space="preserve">Escalada</t>
        </is>
      </c>
      <c r="B14" s="152" t="inlineStr">
        <is>
          <t xml:space="preserve">Promo-2*1/4kg PEYA</t>
        </is>
      </c>
      <c r="C14" s="152" t="inlineStr">
        <is>
          <t xml:space="preserve">1/4  KILO</t>
        </is>
      </c>
      <c r="D14" s="90">
        <v>2</v>
      </c>
      <c r="E14" s="91">
        <v>0.5</v>
      </c>
      <c r="F14" s="88">
        <v>15000</v>
      </c>
      <c r="G14" s="88">
        <v>0</v>
      </c>
      <c r="I14" s="162" t="inlineStr">
        <is>
          <t xml:space="preserve">TOTAL</t>
        </is>
      </c>
      <c r="J14" s="138">
        <f>SUM(J6:J13)</f>
        <v>3</v>
      </c>
      <c r="K14" s="138">
        <f>SUM(K6:K13)</f>
        <v>7</v>
      </c>
      <c r="L14" s="138">
        <f>SUM(L6:L13)</f>
        <v>17</v>
      </c>
      <c r="M14" s="138">
        <f>SUM(M6:M13)</f>
        <v>27</v>
      </c>
    </row>
    <row r="15" ht="28" customHeight="1">
      <c r="A15" s="156" t="inlineStr">
        <is>
          <t xml:space="preserve">Lanus Oeste</t>
        </is>
      </c>
      <c r="B15" s="157" t="inlineStr">
        <is>
          <t xml:space="preserve">2 Kilos 25% OFF - Pedi Grido</t>
        </is>
      </c>
      <c r="C15" s="157" t="inlineStr">
        <is>
          <t xml:space="preserve">1 KILO</t>
        </is>
      </c>
      <c r="D15" s="95">
        <v>2</v>
      </c>
      <c r="E15" s="96">
        <v>2</v>
      </c>
      <c r="F15" s="93">
        <v>25350</v>
      </c>
      <c r="G15" s="93">
        <v>0</v>
      </c>
      <c r="I15" s="143" t="inlineStr">
        <is>
          <t xml:space="preserve">Usos = veces que se aplicó la promoción. Las promos de apps (PedidosYa / Apps) no registran descuento en el POS.</t>
        </is>
      </c>
      <c r="J15" s="143"/>
      <c r="K15" s="143"/>
      <c r="L15" s="143"/>
      <c r="M15" s="143"/>
    </row>
    <row r="16">
      <c r="A16" s="156" t="inlineStr">
        <is>
          <t xml:space="preserve">Lanus Oeste</t>
        </is>
      </c>
      <c r="B16" s="157" t="inlineStr">
        <is>
          <t xml:space="preserve">20% Jubilados Nuevo</t>
        </is>
      </c>
      <c r="C16" s="157" t="inlineStr">
        <is>
          <t xml:space="preserve">1 KILO</t>
        </is>
      </c>
      <c r="D16" s="95">
        <v>6</v>
      </c>
      <c r="E16" s="96">
        <v>6</v>
      </c>
      <c r="F16" s="93">
        <v>81120</v>
      </c>
      <c r="G16" s="93">
        <v>20280</v>
      </c>
    </row>
    <row r="17">
      <c r="A17" s="156" t="inlineStr">
        <is>
          <t xml:space="preserve">Lanus Oeste</t>
        </is>
      </c>
      <c r="B17" s="157" t="inlineStr">
        <is>
          <t xml:space="preserve">20% Jubilados Nuevo</t>
        </is>
      </c>
      <c r="C17" s="157" t="inlineStr">
        <is>
          <t xml:space="preserve">BOMBON FRUTEZZA X8U.</t>
        </is>
      </c>
      <c r="D17" s="95">
        <v>2</v>
      </c>
      <c r="E17" s="96">
        <v>1.184</v>
      </c>
      <c r="F17" s="93">
        <v>21280</v>
      </c>
      <c r="G17" s="93">
        <v>5320</v>
      </c>
    </row>
    <row r="18">
      <c r="A18" s="156" t="inlineStr">
        <is>
          <t xml:space="preserve">Lanus Oeste</t>
        </is>
      </c>
      <c r="B18" s="157" t="inlineStr">
        <is>
          <t xml:space="preserve">20% Jubilados Nuevo</t>
        </is>
      </c>
      <c r="C18" s="157" t="inlineStr">
        <is>
          <t xml:space="preserve">PALITO BOMBÓN X10 UN.</t>
        </is>
      </c>
      <c r="D18" s="95">
        <v>2</v>
      </c>
      <c r="E18" s="96">
        <v>1</v>
      </c>
      <c r="F18" s="93">
        <v>11680</v>
      </c>
      <c r="G18" s="93">
        <v>2920</v>
      </c>
    </row>
    <row r="19">
      <c r="A19" s="156" t="inlineStr">
        <is>
          <t xml:space="preserve">Lanus Oeste</t>
        </is>
      </c>
      <c r="B19" s="157" t="inlineStr">
        <is>
          <t xml:space="preserve">20% Jubilados Nuevo</t>
        </is>
      </c>
      <c r="C19" s="157" t="inlineStr">
        <is>
          <t xml:space="preserve">ALMENDRADO EN CAJA X 8</t>
        </is>
      </c>
      <c r="D19" s="95">
        <v>1</v>
      </c>
      <c r="E19" s="96">
        <v>0.68</v>
      </c>
      <c r="F19" s="93">
        <v>8560</v>
      </c>
      <c r="G19" s="93">
        <v>2140</v>
      </c>
    </row>
    <row r="20">
      <c r="A20" s="156" t="inlineStr">
        <is>
          <t xml:space="preserve">Lanus Oeste</t>
        </is>
      </c>
      <c r="B20" s="157" t="inlineStr">
        <is>
          <t xml:space="preserve">20% Jubilados Nuevo</t>
        </is>
      </c>
      <c r="C20" s="157" t="inlineStr">
        <is>
          <t xml:space="preserve">BOMBON ESCOCES EN CAJA X 8</t>
        </is>
      </c>
      <c r="D20" s="95">
        <v>1</v>
      </c>
      <c r="E20" s="96">
        <v>0.72</v>
      </c>
      <c r="F20" s="93">
        <v>11440</v>
      </c>
      <c r="G20" s="93">
        <v>2860</v>
      </c>
    </row>
    <row r="21">
      <c r="A21" s="156" t="inlineStr">
        <is>
          <t xml:space="preserve">Lanus Oeste</t>
        </is>
      </c>
      <c r="B21" s="157" t="inlineStr">
        <is>
          <t xml:space="preserve">3X2 en Cuarto - Pedi Grido</t>
        </is>
      </c>
      <c r="C21" s="157" t="inlineStr">
        <is>
          <t xml:space="preserve">1/4  KILO</t>
        </is>
      </c>
      <c r="D21" s="95">
        <v>9</v>
      </c>
      <c r="E21" s="96">
        <v>2.25</v>
      </c>
      <c r="F21" s="93">
        <v>38400.03</v>
      </c>
      <c r="G21" s="93">
        <v>0</v>
      </c>
    </row>
    <row r="22">
      <c r="A22" s="156" t="inlineStr">
        <is>
          <t xml:space="preserve">Lanus Oeste</t>
        </is>
      </c>
      <c r="B22" s="157" t="inlineStr">
        <is>
          <t xml:space="preserve">CAFE GRANDE 12 OZ T.NESPRESSO + MUFFIN</t>
        </is>
      </c>
      <c r="C22" s="157" t="inlineStr">
        <is>
          <t xml:space="preserve">MUFFIN VAINILLA</t>
        </is>
      </c>
      <c r="D22" s="95">
        <v>1</v>
      </c>
      <c r="E22" s="96">
        <v>0</v>
      </c>
      <c r="F22" s="93">
        <v>3250</v>
      </c>
      <c r="G22" s="93">
        <v>1550</v>
      </c>
    </row>
    <row r="23">
      <c r="A23" s="156" t="inlineStr">
        <is>
          <t xml:space="preserve">Lanus Oeste</t>
        </is>
      </c>
      <c r="B23" s="157" t="inlineStr">
        <is>
          <t xml:space="preserve">CAFE GRANDE 12 OZ T.NESPRESSO + MUFFIN</t>
        </is>
      </c>
      <c r="C23" s="157" t="inlineStr">
        <is>
          <t xml:space="preserve">CAFÉ CON LECHE GRANDE</t>
        </is>
      </c>
      <c r="D23" s="95">
        <v>1</v>
      </c>
      <c r="E23" s="96">
        <v>0</v>
      </c>
      <c r="F23" s="93">
        <v>3250</v>
      </c>
      <c r="G23" s="93">
        <v>50</v>
      </c>
    </row>
    <row r="24" ht="20" customHeight="1">
      <c r="A24" s="162" t="inlineStr">
        <is>
          <t xml:space="preserve">TOTAL</t>
        </is>
      </c>
      <c r="B24" s="163" t="inlineStr">
        <is>
          <t xml:space="preserve"/>
        </is>
      </c>
      <c r="C24" s="163" t="inlineStr">
        <is>
          <t xml:space="preserve"/>
        </is>
      </c>
      <c r="D24" s="100">
        <f>SUM(D5:D23)</f>
        <v>39</v>
      </c>
      <c r="E24" s="101">
        <f>SUM(E5:E23)</f>
        <v>23.489</v>
      </c>
      <c r="F24" s="98">
        <f>SUM(F5:F23)</f>
        <v>371390.03</v>
      </c>
      <c r="G24" s="98">
        <f>SUM(G5:G23)</f>
        <v>54760</v>
      </c>
    </row>
  </sheetData>
  <autoFilter ref="A4:G23"/>
  <mergeCells count="4">
    <mergeCell ref="A1:M1"/>
    <mergeCell ref="A2:M2"/>
    <mergeCell ref="I4:M4"/>
    <mergeCell ref="I15:M15"/>
  </mergeCells>
  <pageMargins left="0.4" right="0.4" top="0.5" bottom="0.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A7C59"/>
  </sheetPr>
  <sheetViews>
    <sheetView showGridLines="0" zoomScale="90" zoomScaleNormal="9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3" customWidth="1"/>
    <col min="2" max="2" width="26" customWidth="1"/>
    <col min="3" max="3" width="30" customWidth="1"/>
    <col min="4" max="4" width="10" customWidth="1"/>
    <col min="5" max="5" width="10" customWidth="1"/>
    <col min="6" max="6" width="13" customWidth="1"/>
    <col min="7" max="7" width="13" customWidth="1"/>
    <col min="8" max="8" width="3" customWidth="1"/>
    <col min="9" max="9" width="26" customWidth="1"/>
    <col min="10" max="10" width="12" customWidth="1"/>
    <col min="11" max="11" width="12" customWidth="1"/>
    <col min="12" max="12" width="12" customWidth="1"/>
    <col min="13" max="13" width="13" customWidth="1"/>
    <col min="14" max="14" width="11" customWidth="1"/>
  </cols>
  <sheetData>
    <row r="1" ht="34" customHeight="1">
      <c r="A1" s="54" t="inlineStr">
        <is>
          <t xml:space="preserve">SOBREVENTAS  ·  27/09/2026</t>
        </is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ht="20" customHeight="1">
      <c r="A2" s="55" t="inlineStr">
        <is>
          <t xml:space="preserve">Qué productos se llevaron como sobreventa y cómo convirtió cada sucursal. Ofrecidas y aceptadas salen de la hoja «Informe Diario».</t>
        </is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ht="8" customHeight="1"/>
    <row r="4" ht="22" customHeight="1">
      <c r="A4" s="191" t="inlineStr">
        <is>
          <t xml:space="preserve">Sucursal</t>
        </is>
      </c>
      <c r="B4" s="191" t="inlineStr">
        <is>
          <t xml:space="preserve">Sobreventa</t>
        </is>
      </c>
      <c r="C4" s="191" t="inlineStr">
        <is>
          <t xml:space="preserve">Producto</t>
        </is>
      </c>
      <c r="D4" s="191" t="inlineStr">
        <is>
          <t xml:space="preserve">Cantidad</t>
        </is>
      </c>
      <c r="E4" s="191" t="inlineStr">
        <is>
          <t xml:space="preserve">Kilos</t>
        </is>
      </c>
      <c r="F4" s="191" t="inlineStr">
        <is>
          <t xml:space="preserve">Venta</t>
        </is>
      </c>
      <c r="G4" s="191" t="inlineStr">
        <is>
          <t xml:space="preserve">Descuento</t>
        </is>
      </c>
      <c r="I4" s="118" t="inlineStr">
        <is>
          <t xml:space="preserve">OFRECIDAS Y ACEPTADAS  ·  según Informe Diario</t>
        </is>
      </c>
      <c r="J4" s="118"/>
      <c r="K4" s="118"/>
      <c r="L4" s="118"/>
      <c r="M4" s="118"/>
      <c r="N4" s="118"/>
    </row>
    <row r="5" ht="30" customHeight="1">
      <c r="A5" s="146" t="inlineStr">
        <is>
          <t xml:space="preserve">Fiorito</t>
        </is>
      </c>
      <c r="B5" s="147" t="inlineStr">
        <is>
          <t xml:space="preserve">2026 SV- 1/2 KILO</t>
        </is>
      </c>
      <c r="C5" s="147" t="inlineStr">
        <is>
          <t xml:space="preserve">1/2  KILO</t>
        </is>
      </c>
      <c r="D5" s="85">
        <v>6</v>
      </c>
      <c r="E5" s="86">
        <v>3</v>
      </c>
      <c r="F5" s="83">
        <v>48000</v>
      </c>
      <c r="G5" s="83">
        <v>12000</v>
      </c>
      <c r="I5" s="81" t="inlineStr">
        <is>
          <t xml:space="preserve">Sucursal</t>
        </is>
      </c>
      <c r="J5" s="81" t="inlineStr">
        <is>
          <t xml:space="preserve">Ofrecidas</t>
        </is>
      </c>
      <c r="K5" s="81" t="inlineStr">
        <is>
          <t xml:space="preserve">Aceptadas</t>
        </is>
      </c>
      <c r="L5" s="81" t="inlineStr">
        <is>
          <t xml:space="preserve">Rechazadas</t>
        </is>
      </c>
      <c r="M5" s="81" t="inlineStr">
        <is>
          <t xml:space="preserve">% aceptación</t>
        </is>
      </c>
      <c r="N5" s="81" t="inlineStr">
        <is>
          <t xml:space="preserve">Estándar</t>
        </is>
      </c>
    </row>
    <row r="6">
      <c r="A6" s="146" t="inlineStr">
        <is>
          <t xml:space="preserve">Fiorito</t>
        </is>
      </c>
      <c r="B6" s="147" t="inlineStr">
        <is>
          <t xml:space="preserve">2026 SV 1/4 KILO</t>
        </is>
      </c>
      <c r="C6" s="147" t="inlineStr">
        <is>
          <t xml:space="preserve">1/4  KILO</t>
        </is>
      </c>
      <c r="D6" s="85">
        <v>11</v>
      </c>
      <c r="E6" s="86">
        <v>2.75</v>
      </c>
      <c r="F6" s="83">
        <v>55000</v>
      </c>
      <c r="G6" s="83">
        <v>15400</v>
      </c>
      <c r="I6" s="192" t="str">
        <f>'Informe Diario'!A10</f>
        <v>Fiorito</v>
      </c>
      <c r="J6" s="104">
        <f>'Informe Diario'!J10</f>
        <v>162</v>
      </c>
      <c r="K6" s="104">
        <f>'Informe Diario'!K10</f>
        <v>23</v>
      </c>
      <c r="L6" s="104">
        <f>J6-K6</f>
        <v>139</v>
      </c>
      <c r="M6" s="179">
        <f>IF(J6=0,0,K6/J6)</f>
        <v>0.1419753086419753</v>
      </c>
      <c r="N6" s="193">
        <v>0.15</v>
      </c>
    </row>
    <row r="7">
      <c r="A7" s="146" t="inlineStr">
        <is>
          <t xml:space="preserve">Fiorito</t>
        </is>
      </c>
      <c r="B7" s="147" t="inlineStr">
        <is>
          <t xml:space="preserve">2026 SV FRUTEZZA</t>
        </is>
      </c>
      <c r="C7" s="147" t="inlineStr">
        <is>
          <t xml:space="preserve">BOMBON FRUTEZZA XU.</t>
        </is>
      </c>
      <c r="D7" s="85">
        <v>6</v>
      </c>
      <c r="E7" s="86">
        <v>0.444</v>
      </c>
      <c r="F7" s="83">
        <v>12000</v>
      </c>
      <c r="G7" s="83">
        <v>1200</v>
      </c>
      <c r="I7" s="194" t="str">
        <f>'Informe Diario'!A15</f>
        <v>Escalada</v>
      </c>
      <c r="J7" s="109">
        <f>'Informe Diario'!J15</f>
        <v>85</v>
      </c>
      <c r="K7" s="109">
        <f>'Informe Diario'!K15</f>
        <v>14</v>
      </c>
      <c r="L7" s="109">
        <f>J7-K7</f>
        <v>71</v>
      </c>
      <c r="M7" s="182">
        <f>IF(J7=0,0,K7/J7)</f>
        <v>0.16470588235294117</v>
      </c>
      <c r="N7" s="195">
        <v>0.15</v>
      </c>
    </row>
    <row r="8">
      <c r="A8" s="151" t="inlineStr">
        <is>
          <t xml:space="preserve">Escalada</t>
        </is>
      </c>
      <c r="B8" s="152" t="inlineStr">
        <is>
          <t xml:space="preserve">2026 SV- 1/2 KILO</t>
        </is>
      </c>
      <c r="C8" s="152" t="inlineStr">
        <is>
          <t xml:space="preserve">1/2  KILO</t>
        </is>
      </c>
      <c r="D8" s="90">
        <v>5</v>
      </c>
      <c r="E8" s="91">
        <v>2.5</v>
      </c>
      <c r="F8" s="88">
        <v>40000</v>
      </c>
      <c r="G8" s="88">
        <v>10000</v>
      </c>
      <c r="I8" s="196" t="str">
        <f>'Informe Diario'!A21</f>
        <v>Lanus Oeste</v>
      </c>
      <c r="J8" s="114">
        <f>'Informe Diario'!J21</f>
        <v>146</v>
      </c>
      <c r="K8" s="114">
        <f>'Informe Diario'!K21</f>
        <v>13</v>
      </c>
      <c r="L8" s="114">
        <f>J8-K8</f>
        <v>133</v>
      </c>
      <c r="M8" s="185">
        <f>IF(J8=0,0,K8/J8)</f>
        <v>0.089041095890410954</v>
      </c>
      <c r="N8" s="197">
        <v>0.15</v>
      </c>
    </row>
    <row r="9">
      <c r="A9" s="151" t="inlineStr">
        <is>
          <t xml:space="preserve">Escalada</t>
        </is>
      </c>
      <c r="B9" s="152" t="inlineStr">
        <is>
          <t xml:space="preserve">2026 SV 1/4 KILO</t>
        </is>
      </c>
      <c r="C9" s="152" t="inlineStr">
        <is>
          <t xml:space="preserve">1/4  KILO</t>
        </is>
      </c>
      <c r="D9" s="90">
        <v>3</v>
      </c>
      <c r="E9" s="91">
        <v>0.75</v>
      </c>
      <c r="F9" s="88">
        <v>15000</v>
      </c>
      <c r="G9" s="88">
        <v>4200</v>
      </c>
      <c r="I9" s="162" t="inlineStr">
        <is>
          <t xml:space="preserve">TOTAL</t>
        </is>
      </c>
      <c r="J9" s="138">
        <f>SUM(J6:J8)</f>
        <v>393</v>
      </c>
      <c r="K9" s="138">
        <f>SUM(K6:K8)</f>
        <v>50</v>
      </c>
      <c r="L9" s="138">
        <f>SUM(L6:L8)</f>
        <v>343</v>
      </c>
      <c r="M9" s="140">
        <f>IF(J9=0,0,K9/J9)</f>
        <v>0.1272264631043257</v>
      </c>
      <c r="N9" s="142">
        <v>0.15</v>
      </c>
    </row>
    <row r="10">
      <c r="A10" s="151" t="inlineStr">
        <is>
          <t xml:space="preserve">Escalada</t>
        </is>
      </c>
      <c r="B10" s="152" t="inlineStr">
        <is>
          <t xml:space="preserve">2026 SV FRUTEZZA</t>
        </is>
      </c>
      <c r="C10" s="152" t="inlineStr">
        <is>
          <t xml:space="preserve">BOMBON FRUTEZZA XU.</t>
        </is>
      </c>
      <c r="D10" s="90">
        <v>4</v>
      </c>
      <c r="E10" s="91">
        <v>0.296</v>
      </c>
      <c r="F10" s="88">
        <v>8000</v>
      </c>
      <c r="G10" s="88">
        <v>800</v>
      </c>
    </row>
    <row r="11">
      <c r="A11" s="151" t="inlineStr">
        <is>
          <t xml:space="preserve">Escalada</t>
        </is>
      </c>
      <c r="B11" s="152" t="inlineStr">
        <is>
          <t xml:space="preserve">2026 SV TORTA COCO</t>
        </is>
      </c>
      <c r="C11" s="152" t="inlineStr">
        <is>
          <t xml:space="preserve">TORTA COCO C/DULCE DE LECHE 120G.</t>
        </is>
      </c>
      <c r="D11" s="90">
        <v>3</v>
      </c>
      <c r="E11" s="91">
        <v>0.36</v>
      </c>
      <c r="F11" s="88">
        <v>9600</v>
      </c>
      <c r="G11" s="88">
        <v>4800</v>
      </c>
    </row>
    <row r="12" ht="22" customHeight="1">
      <c r="A12" s="156" t="inlineStr">
        <is>
          <t xml:space="preserve">Lanus Oeste</t>
        </is>
      </c>
      <c r="B12" s="157" t="inlineStr">
        <is>
          <t xml:space="preserve">2026 SV- 1/2 KILO</t>
        </is>
      </c>
      <c r="C12" s="157" t="inlineStr">
        <is>
          <t xml:space="preserve">1/2  KILO</t>
        </is>
      </c>
      <c r="D12" s="95">
        <v>4</v>
      </c>
      <c r="E12" s="96">
        <v>2</v>
      </c>
      <c r="F12" s="93">
        <v>32000</v>
      </c>
      <c r="G12" s="93">
        <v>8000</v>
      </c>
      <c r="I12" s="118" t="inlineStr">
        <is>
          <t xml:space="preserve">ACEPTADAS POR PRODUCTO</t>
        </is>
      </c>
      <c r="J12" s="118"/>
      <c r="K12" s="118"/>
      <c r="L12" s="118"/>
      <c r="M12" s="118"/>
      <c r="N12" s="118"/>
    </row>
    <row r="13" ht="30" customHeight="1">
      <c r="A13" s="156" t="inlineStr">
        <is>
          <t xml:space="preserve">Lanus Oeste</t>
        </is>
      </c>
      <c r="B13" s="157" t="inlineStr">
        <is>
          <t xml:space="preserve">2026 SV 1/4 KILO</t>
        </is>
      </c>
      <c r="C13" s="157" t="inlineStr">
        <is>
          <t xml:space="preserve">1/4  KILO</t>
        </is>
      </c>
      <c r="D13" s="95">
        <v>6</v>
      </c>
      <c r="E13" s="96">
        <v>1.5</v>
      </c>
      <c r="F13" s="93">
        <v>30000</v>
      </c>
      <c r="G13" s="93">
        <v>8400</v>
      </c>
      <c r="I13" s="81" t="inlineStr">
        <is>
          <t xml:space="preserve">Producto</t>
        </is>
      </c>
      <c r="J13" s="81" t="inlineStr">
        <is>
          <t xml:space="preserve">Cantidad</t>
        </is>
      </c>
      <c r="K13" s="81" t="inlineStr">
        <is>
          <t xml:space="preserve">Venta</t>
        </is>
      </c>
      <c r="L13" s="81" t="inlineStr">
        <is>
          <t xml:space="preserve">% de las unidades</t>
        </is>
      </c>
    </row>
    <row r="14">
      <c r="A14" s="156" t="inlineStr">
        <is>
          <t xml:space="preserve">Lanus Oeste</t>
        </is>
      </c>
      <c r="B14" s="157" t="inlineStr">
        <is>
          <t xml:space="preserve">2026 SV FRUTEZZA</t>
        </is>
      </c>
      <c r="C14" s="157" t="inlineStr">
        <is>
          <t xml:space="preserve">BOMBON FRUTEZZA XU.</t>
        </is>
      </c>
      <c r="D14" s="95">
        <v>2</v>
      </c>
      <c r="E14" s="96">
        <v>0.148</v>
      </c>
      <c r="F14" s="93">
        <v>4000</v>
      </c>
      <c r="G14" s="93">
        <v>400</v>
      </c>
      <c r="I14" s="196" t="inlineStr">
        <is>
          <t xml:space="preserve">1/4  KILO</t>
        </is>
      </c>
      <c r="J14" s="198">
        <f>SUMIF($C$5:$C$15,I14,$D$5:$D$15)</f>
        <v>20</v>
      </c>
      <c r="K14" s="199">
        <f>SUMIF($C$5:$C$15,I14,$F$5:$F$15)</f>
        <v>100000</v>
      </c>
      <c r="L14" s="200">
        <f>IF($D$16=0,0,J14/$D$16)</f>
        <v>0.39215686274509803</v>
      </c>
    </row>
    <row r="15">
      <c r="A15" s="156" t="inlineStr">
        <is>
          <t xml:space="preserve">Lanus Oeste</t>
        </is>
      </c>
      <c r="B15" s="157" t="inlineStr">
        <is>
          <t xml:space="preserve">2026 SV TORTA COCO</t>
        </is>
      </c>
      <c r="C15" s="157" t="inlineStr">
        <is>
          <t xml:space="preserve">TORTA COCO C/DULCE DE LECHE 120G.</t>
        </is>
      </c>
      <c r="D15" s="95">
        <v>1</v>
      </c>
      <c r="E15" s="96">
        <v>0.12</v>
      </c>
      <c r="F15" s="93">
        <v>3200</v>
      </c>
      <c r="G15" s="93">
        <v>1600</v>
      </c>
      <c r="I15" s="201" t="inlineStr">
        <is>
          <t xml:space="preserve">1/2  KILO</t>
        </is>
      </c>
      <c r="J15" s="198">
        <f>SUMIF($C$5:$C$15,I15,$D$5:$D$15)</f>
        <v>15</v>
      </c>
      <c r="K15" s="199">
        <f>SUMIF($C$5:$C$15,I15,$F$5:$F$15)</f>
        <v>120000</v>
      </c>
      <c r="L15" s="200">
        <f>IF($D$16=0,0,J15/$D$16)</f>
        <v>0.29411764705882354</v>
      </c>
    </row>
    <row r="16" ht="20" customHeight="1">
      <c r="A16" s="162" t="inlineStr">
        <is>
          <t xml:space="preserve">TOTAL</t>
        </is>
      </c>
      <c r="B16" s="163" t="inlineStr">
        <is>
          <t xml:space="preserve"/>
        </is>
      </c>
      <c r="C16" s="163" t="inlineStr">
        <is>
          <t xml:space="preserve"/>
        </is>
      </c>
      <c r="D16" s="100">
        <f>SUM(D5:D15)</f>
        <v>51</v>
      </c>
      <c r="E16" s="101">
        <f>SUM(E5:E15)</f>
        <v>13.867999999999997</v>
      </c>
      <c r="F16" s="98">
        <f>SUM(F5:F15)</f>
        <v>256800</v>
      </c>
      <c r="G16" s="98">
        <f>SUM(G5:G15)</f>
        <v>66800</v>
      </c>
      <c r="I16" s="202" t="inlineStr">
        <is>
          <t xml:space="preserve">BOMBON FRUTEZZA XU.</t>
        </is>
      </c>
      <c r="J16" s="198">
        <f>SUMIF($C$5:$C$15,I16,$D$5:$D$15)</f>
        <v>12</v>
      </c>
      <c r="K16" s="199">
        <f>SUMIF($C$5:$C$15,I16,$F$5:$F$15)</f>
        <v>24000</v>
      </c>
      <c r="L16" s="200">
        <f>IF($D$16=0,0,J16/$D$16)</f>
        <v>0.23529411764705882</v>
      </c>
    </row>
    <row r="17">
      <c r="I17" s="192" t="inlineStr">
        <is>
          <t xml:space="preserve">TORTA COCO C/DULCE DE LECHE 120G.</t>
        </is>
      </c>
      <c r="J17" s="198">
        <f>SUMIF($C$5:$C$15,I17,$D$5:$D$15)</f>
        <v>4</v>
      </c>
      <c r="K17" s="199">
        <f>SUMIF($C$5:$C$15,I17,$F$5:$F$15)</f>
        <v>12800</v>
      </c>
      <c r="L17" s="200">
        <f>IF($D$16=0,0,J17/$D$16)</f>
        <v>0.0784313725490196</v>
      </c>
    </row>
    <row r="19" ht="28" customHeight="1">
      <c r="I19" s="143" t="inlineStr">
        <is>
          <t xml:space="preserve">Un ticket puede llevar más de una sobreventa: por eso la suma por producto puede superar las aceptadas del Informe Diario.</t>
        </is>
      </c>
      <c r="J19" s="143"/>
      <c r="K19" s="143"/>
      <c r="L19" s="143"/>
      <c r="M19" s="143"/>
      <c r="N19" s="143"/>
    </row>
  </sheetData>
  <autoFilter ref="A4:G15"/>
  <mergeCells count="5">
    <mergeCell ref="A1:N1"/>
    <mergeCell ref="A2:N2"/>
    <mergeCell ref="I4:N4"/>
    <mergeCell ref="I12:N12"/>
    <mergeCell ref="I19:N19"/>
  </mergeCells>
  <conditionalFormatting sqref="M6:M9">
    <cfRule type="cellIs" dxfId="1" priority="1" operator="lessThan">
      <formula>$N6</formula>
    </cfRule>
    <cfRule type="cellIs" dxfId="2" priority="2" operator="greaterThanOrEqual">
      <formula>$N6</formula>
    </cfRule>
  </conditionalFormatting>
  <pageMargins left="0.4" right="0.4" top="0.5" bottom="0.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D6D7E"/>
  </sheetPr>
  <sheetViews>
    <sheetView showGridLines="0" zoomScale="90" zoomScaleNormal="90"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13" customWidth="1"/>
    <col min="2" max="2" width="13" customWidth="1"/>
    <col min="3" max="3" width="8" customWidth="1"/>
    <col min="4" max="4" width="11" customWidth="1"/>
    <col min="5" max="5" width="12" customWidth="1"/>
    <col min="6" max="6" width="18" customWidth="1"/>
    <col min="7" max="7" width="70" customWidth="1"/>
    <col min="8" max="8" width="13" customWidth="1"/>
    <col min="9" max="9" width="24" customWidth="1"/>
  </cols>
  <sheetData>
    <row r="1" ht="34" customHeight="1">
      <c r="A1" s="54" t="inlineStr">
        <is>
          <t xml:space="preserve">TICKETS DEL DÍA  ·  DOMINGO 27/09/2026</t>
        </is>
      </c>
      <c r="B1" s="54"/>
      <c r="C1" s="54"/>
      <c r="D1" s="54"/>
      <c r="E1" s="54"/>
      <c r="F1" s="54"/>
      <c r="G1" s="54"/>
      <c r="H1" s="54"/>
      <c r="I1" s="54"/>
    </row>
    <row r="2" ht="20" customHeight="1">
      <c r="A2" s="55" t="inlineStr">
        <is>
          <t xml:space="preserve">Un renglón por ticket: qué se llevó el cliente y qué pasó con la sobreventa. Usá los filtros (por ejemplo «Cajero») para ver a una persona.</t>
        </is>
      </c>
      <c r="B2" s="55"/>
      <c r="C2" s="55"/>
      <c r="D2" s="55"/>
      <c r="E2" s="55"/>
      <c r="F2" s="55"/>
      <c r="G2" s="55"/>
      <c r="H2" s="55"/>
      <c r="I2" s="55"/>
    </row>
    <row r="3" ht="8" customHeight="1"/>
    <row r="4" ht="30" customHeight="1">
      <c r="A4" s="161" t="inlineStr">
        <is>
          <t xml:space="preserve">Sucursal</t>
        </is>
      </c>
      <c r="B4" s="161" t="inlineStr">
        <is>
          <t xml:space="preserve">Cajero</t>
        </is>
      </c>
      <c r="C4" s="161" t="inlineStr">
        <is>
          <t xml:space="preserve">Hora</t>
        </is>
      </c>
      <c r="D4" s="161" t="inlineStr">
        <is>
          <t xml:space="preserve">Canal</t>
        </is>
      </c>
      <c r="E4" s="161" t="inlineStr">
        <is>
          <t xml:space="preserve">Importe</t>
        </is>
      </c>
      <c r="F4" s="161" t="inlineStr">
        <is>
          <t xml:space="preserve">Rubro principal</t>
        </is>
      </c>
      <c r="G4" s="161" t="inlineStr">
        <is>
          <t xml:space="preserve">Producto llevado</t>
        </is>
      </c>
      <c r="H4" s="191" t="inlineStr">
        <is>
          <t xml:space="preserve">Sobreventa</t>
        </is>
      </c>
      <c r="I4" s="191" t="inlineStr">
        <is>
          <t xml:space="preserve">Producto llevado en SV</t>
        </is>
      </c>
    </row>
    <row r="5">
      <c r="A5" s="146" t="inlineStr">
        <is>
          <t xml:space="preserve">Fiorito</t>
        </is>
      </c>
      <c r="B5" s="150" t="inlineStr">
        <is>
          <t xml:space="preserve">Ailen</t>
        </is>
      </c>
      <c r="C5" s="121" t="inlineStr">
        <is>
          <t xml:space="preserve">17 h</t>
        </is>
      </c>
      <c r="D5" s="121" t="inlineStr">
        <is>
          <t xml:space="preserve">Salón</t>
        </is>
      </c>
      <c r="E5" s="83">
        <v>18400</v>
      </c>
      <c r="F5" s="147" t="inlineStr">
        <is>
          <t xml:space="preserve">FAMILIAR</t>
        </is>
      </c>
      <c r="G5" s="147" t="inlineStr">
        <is>
          <t xml:space="preserve">1 FAMNº1 (CHOCOLATE/D.LECHE/AMERICANA) + 1 PALITO FRUTAL FRUTILLA X UNIDAD</t>
        </is>
      </c>
      <c r="H5" s="293" t="inlineStr">
        <is>
          <t xml:space="preserve">Rechazada</t>
        </is>
      </c>
      <c r="I5" s="147" t="inlineStr">
        <is>
          <t xml:space="preserve"/>
        </is>
      </c>
    </row>
    <row r="6">
      <c r="A6" s="146" t="inlineStr">
        <is>
          <t xml:space="preserve">Fiorito</t>
        </is>
      </c>
      <c r="B6" s="150" t="inlineStr">
        <is>
          <t xml:space="preserve">Ailen</t>
        </is>
      </c>
      <c r="C6" s="121" t="inlineStr">
        <is>
          <t xml:space="preserve">17 h</t>
        </is>
      </c>
      <c r="D6" s="121" t="inlineStr">
        <is>
          <t xml:space="preserve">Salón</t>
        </is>
      </c>
      <c r="E6" s="83">
        <v>4400</v>
      </c>
      <c r="F6" s="147" t="inlineStr">
        <is>
          <t xml:space="preserve">GRIDOS</t>
        </is>
      </c>
      <c r="G6" s="147" t="inlineStr">
        <is>
          <t xml:space="preserve">1 CAPUCCINO GRIDO</t>
        </is>
      </c>
      <c r="H6" s="293" t="inlineStr">
        <is>
          <t xml:space="preserve">Rechazada</t>
        </is>
      </c>
      <c r="I6" s="147" t="inlineStr">
        <is>
          <t xml:space="preserve"/>
        </is>
      </c>
    </row>
    <row r="7">
      <c r="A7" s="146" t="inlineStr">
        <is>
          <t xml:space="preserve">Fiorito</t>
        </is>
      </c>
      <c r="B7" s="150" t="inlineStr">
        <is>
          <t xml:space="preserve">Ailen</t>
        </is>
      </c>
      <c r="C7" s="121" t="inlineStr">
        <is>
          <t xml:space="preserve">17 h</t>
        </is>
      </c>
      <c r="D7" s="121" t="inlineStr">
        <is>
          <t xml:space="preserve">Salón</t>
        </is>
      </c>
      <c r="E7" s="83">
        <v>19300</v>
      </c>
      <c r="F7" s="147" t="inlineStr">
        <is>
          <t xml:space="preserve">HELADO X  KILO</t>
        </is>
      </c>
      <c r="G7" s="147" t="inlineStr">
        <is>
          <t xml:space="preserve">1 1 KILO + 2 CUPS BLACK X 3</t>
        </is>
      </c>
      <c r="H7" s="293" t="inlineStr">
        <is>
          <t xml:space="preserve">Rechazada</t>
        </is>
      </c>
      <c r="I7" s="147" t="inlineStr">
        <is>
          <t xml:space="preserve"/>
        </is>
      </c>
    </row>
    <row r="8">
      <c r="A8" s="146" t="inlineStr">
        <is>
          <t xml:space="preserve">Fiorito</t>
        </is>
      </c>
      <c r="B8" s="150" t="inlineStr">
        <is>
          <t xml:space="preserve">Ailen</t>
        </is>
      </c>
      <c r="C8" s="121" t="inlineStr">
        <is>
          <t xml:space="preserve">17 h</t>
        </is>
      </c>
      <c r="D8" s="121" t="inlineStr">
        <is>
          <t xml:space="preserve">Salón</t>
        </is>
      </c>
      <c r="E8" s="83">
        <v>7300</v>
      </c>
      <c r="F8" s="147" t="inlineStr">
        <is>
          <t xml:space="preserve">PALITOS</t>
        </is>
      </c>
      <c r="G8" s="147" t="inlineStr">
        <is>
          <t xml:space="preserve">1 PALITO BOMBÓN X10 UN.</t>
        </is>
      </c>
      <c r="H8" s="293" t="inlineStr">
        <is>
          <t xml:space="preserve">Rechazada</t>
        </is>
      </c>
      <c r="I8" s="147" t="inlineStr">
        <is>
          <t xml:space="preserve"/>
        </is>
      </c>
    </row>
    <row r="9">
      <c r="A9" s="146" t="inlineStr">
        <is>
          <t xml:space="preserve">Fiorito</t>
        </is>
      </c>
      <c r="B9" s="150" t="inlineStr">
        <is>
          <t xml:space="preserve">Ailen</t>
        </is>
      </c>
      <c r="C9" s="121" t="inlineStr">
        <is>
          <t xml:space="preserve">17 h</t>
        </is>
      </c>
      <c r="D9" s="121" t="inlineStr">
        <is>
          <t xml:space="preserve">Salón</t>
        </is>
      </c>
      <c r="E9" s="83">
        <v>6400</v>
      </c>
      <c r="F9" s="147" t="inlineStr">
        <is>
          <t xml:space="preserve">HELADO X  KILO</t>
        </is>
      </c>
      <c r="G9" s="147" t="inlineStr">
        <is>
          <t xml:space="preserve">1 1/4  KILO</t>
        </is>
      </c>
      <c r="H9" s="293" t="inlineStr">
        <is>
          <t xml:space="preserve">Rechazada</t>
        </is>
      </c>
      <c r="I9" s="147" t="inlineStr">
        <is>
          <t xml:space="preserve"/>
        </is>
      </c>
    </row>
    <row r="10">
      <c r="A10" s="146" t="inlineStr">
        <is>
          <t xml:space="preserve">Fiorito</t>
        </is>
      </c>
      <c r="B10" s="150" t="inlineStr">
        <is>
          <t xml:space="preserve">Ailen</t>
        </is>
      </c>
      <c r="C10" s="121" t="inlineStr">
        <is>
          <t xml:space="preserve">17 h</t>
        </is>
      </c>
      <c r="D10" s="121" t="inlineStr">
        <is>
          <t xml:space="preserve">Salón</t>
        </is>
      </c>
      <c r="E10" s="83">
        <v>3900</v>
      </c>
      <c r="F10" s="147" t="inlineStr">
        <is>
          <t xml:space="preserve">HELADO X BOCHA</t>
        </is>
      </c>
      <c r="G10" s="147" t="inlineStr">
        <is>
          <t xml:space="preserve">1 TACITA 3 BOCHAS</t>
        </is>
      </c>
      <c r="H10" s="293" t="inlineStr">
        <is>
          <t xml:space="preserve">Rechazada</t>
        </is>
      </c>
      <c r="I10" s="147" t="inlineStr">
        <is>
          <t xml:space="preserve"/>
        </is>
      </c>
    </row>
    <row r="11">
      <c r="A11" s="146" t="inlineStr">
        <is>
          <t xml:space="preserve">Fiorito</t>
        </is>
      </c>
      <c r="B11" s="150" t="inlineStr">
        <is>
          <t xml:space="preserve">Ailen</t>
        </is>
      </c>
      <c r="C11" s="121" t="inlineStr">
        <is>
          <t xml:space="preserve">17 h</t>
        </is>
      </c>
      <c r="D11" s="121" t="inlineStr">
        <is>
          <t xml:space="preserve">Salón</t>
        </is>
      </c>
      <c r="E11" s="83">
        <v>15000</v>
      </c>
      <c r="F11" s="147" t="inlineStr">
        <is>
          <t xml:space="preserve">HELADO X  KILO</t>
        </is>
      </c>
      <c r="G11" s="147" t="inlineStr">
        <is>
          <t xml:space="preserve">1 1/2  KILO</t>
        </is>
      </c>
      <c r="H11" s="227" t="inlineStr">
        <is>
          <t xml:space="preserve">Aceptada</t>
        </is>
      </c>
      <c r="I11" s="150" t="inlineStr">
        <is>
          <t xml:space="preserve">1 1/4  KILO</t>
        </is>
      </c>
    </row>
    <row r="12">
      <c r="A12" s="146" t="inlineStr">
        <is>
          <t xml:space="preserve">Fiorito</t>
        </is>
      </c>
      <c r="B12" s="150" t="inlineStr">
        <is>
          <t xml:space="preserve">Ailen</t>
        </is>
      </c>
      <c r="C12" s="121" t="inlineStr">
        <is>
          <t xml:space="preserve">18 h</t>
        </is>
      </c>
      <c r="D12" s="121" t="inlineStr">
        <is>
          <t xml:space="preserve">Salón</t>
        </is>
      </c>
      <c r="E12" s="83">
        <v>19900</v>
      </c>
      <c r="F12" s="147" t="inlineStr">
        <is>
          <t xml:space="preserve">TORTAS</t>
        </is>
      </c>
      <c r="G12" s="147" t="inlineStr">
        <is>
          <t xml:space="preserve">1 TORTA FRUTILLAS CON CREMA + 2 VELA NUMERO X UN</t>
        </is>
      </c>
      <c r="H12" s="293" t="inlineStr">
        <is>
          <t xml:space="preserve">Rechazada</t>
        </is>
      </c>
      <c r="I12" s="147" t="inlineStr">
        <is>
          <t xml:space="preserve"/>
        </is>
      </c>
    </row>
    <row r="13">
      <c r="A13" s="146" t="inlineStr">
        <is>
          <t xml:space="preserve">Fiorito</t>
        </is>
      </c>
      <c r="B13" s="150" t="inlineStr">
        <is>
          <t xml:space="preserve">Ailen</t>
        </is>
      </c>
      <c r="C13" s="121" t="inlineStr">
        <is>
          <t xml:space="preserve">18 h</t>
        </is>
      </c>
      <c r="D13" s="121" t="inlineStr">
        <is>
          <t xml:space="preserve">Salón</t>
        </is>
      </c>
      <c r="E13" s="83">
        <v>4300</v>
      </c>
      <c r="F13" s="147" t="inlineStr">
        <is>
          <t xml:space="preserve">GRIDOS</t>
        </is>
      </c>
      <c r="G13" s="147" t="inlineStr">
        <is>
          <t xml:space="preserve">1 GRIDO BATIDO</t>
        </is>
      </c>
      <c r="H13" s="293" t="inlineStr">
        <is>
          <t xml:space="preserve">Rechazada</t>
        </is>
      </c>
      <c r="I13" s="147" t="inlineStr">
        <is>
          <t xml:space="preserve"/>
        </is>
      </c>
    </row>
    <row r="14">
      <c r="A14" s="146" t="inlineStr">
        <is>
          <t xml:space="preserve">Fiorito</t>
        </is>
      </c>
      <c r="B14" s="150" t="inlineStr">
        <is>
          <t xml:space="preserve">Ailen</t>
        </is>
      </c>
      <c r="C14" s="121" t="inlineStr">
        <is>
          <t xml:space="preserve">18 h</t>
        </is>
      </c>
      <c r="D14" s="121" t="inlineStr">
        <is>
          <t xml:space="preserve">Salón</t>
        </is>
      </c>
      <c r="E14" s="83">
        <v>18700</v>
      </c>
      <c r="F14" s="147" t="inlineStr">
        <is>
          <t xml:space="preserve">PALITOS</t>
        </is>
      </c>
      <c r="G14" s="147" t="inlineStr">
        <is>
          <t xml:space="preserve">1 PALITO BOMBÓN DDL X 10 + 1 1/4  KILO</t>
        </is>
      </c>
      <c r="H14" s="227" t="inlineStr">
        <is>
          <t xml:space="preserve">Aceptada</t>
        </is>
      </c>
      <c r="I14" s="150" t="inlineStr">
        <is>
          <t xml:space="preserve">1 1/4  KILO</t>
        </is>
      </c>
    </row>
    <row r="15">
      <c r="A15" s="146" t="inlineStr">
        <is>
          <t xml:space="preserve">Fiorito</t>
        </is>
      </c>
      <c r="B15" s="150" t="inlineStr">
        <is>
          <t xml:space="preserve">Ailen</t>
        </is>
      </c>
      <c r="C15" s="121" t="inlineStr">
        <is>
          <t xml:space="preserve">18 h</t>
        </is>
      </c>
      <c r="D15" s="121" t="inlineStr">
        <is>
          <t xml:space="preserve">Salón</t>
        </is>
      </c>
      <c r="E15" s="83">
        <v>16900</v>
      </c>
      <c r="F15" s="147" t="inlineStr">
        <is>
          <t xml:space="preserve">HELADO X  KILO</t>
        </is>
      </c>
      <c r="G15" s="147" t="inlineStr">
        <is>
          <t xml:space="preserve">1 1 KILO</t>
        </is>
      </c>
      <c r="H15" s="293" t="inlineStr">
        <is>
          <t xml:space="preserve">Rechazada</t>
        </is>
      </c>
      <c r="I15" s="147" t="inlineStr">
        <is>
          <t xml:space="preserve"/>
        </is>
      </c>
    </row>
    <row r="16">
      <c r="A16" s="146" t="inlineStr">
        <is>
          <t xml:space="preserve">Fiorito</t>
        </is>
      </c>
      <c r="B16" s="150" t="inlineStr">
        <is>
          <t xml:space="preserve">Ailen</t>
        </is>
      </c>
      <c r="C16" s="121" t="inlineStr">
        <is>
          <t xml:space="preserve">18 h</t>
        </is>
      </c>
      <c r="D16" s="121" t="inlineStr">
        <is>
          <t xml:space="preserve">Salón</t>
        </is>
      </c>
      <c r="E16" s="83">
        <v>5600</v>
      </c>
      <c r="F16" s="147" t="inlineStr">
        <is>
          <t xml:space="preserve">CONGELADOS</t>
        </is>
      </c>
      <c r="G16" s="147" t="inlineStr">
        <is>
          <t xml:space="preserve">1 FRAMBUESAS DOBLE CHOCOLATE - GRIDO</t>
        </is>
      </c>
      <c r="H16" s="293" t="inlineStr">
        <is>
          <t xml:space="preserve">Rechazada</t>
        </is>
      </c>
      <c r="I16" s="147" t="inlineStr">
        <is>
          <t xml:space="preserve"/>
        </is>
      </c>
    </row>
    <row r="17">
      <c r="A17" s="146" t="inlineStr">
        <is>
          <t xml:space="preserve">Fiorito</t>
        </is>
      </c>
      <c r="B17" s="150" t="inlineStr">
        <is>
          <t xml:space="preserve">Ailen</t>
        </is>
      </c>
      <c r="C17" s="121" t="inlineStr">
        <is>
          <t xml:space="preserve">18 h</t>
        </is>
      </c>
      <c r="D17" s="121" t="inlineStr">
        <is>
          <t xml:space="preserve">Salón</t>
        </is>
      </c>
      <c r="E17" s="83">
        <v>1800</v>
      </c>
      <c r="F17" s="147" t="inlineStr">
        <is>
          <t xml:space="preserve">PALITOS</t>
        </is>
      </c>
      <c r="G17" s="147" t="inlineStr">
        <is>
          <t xml:space="preserve">2 P.CREM.FRUTILLA X UNIDAD</t>
        </is>
      </c>
      <c r="H17" s="294" t="inlineStr">
        <is>
          <t xml:space="preserve">No ofrecida</t>
        </is>
      </c>
      <c r="I17" s="147" t="inlineStr">
        <is>
          <t xml:space="preserve"/>
        </is>
      </c>
    </row>
    <row r="18">
      <c r="A18" s="146" t="inlineStr">
        <is>
          <t xml:space="preserve">Fiorito</t>
        </is>
      </c>
      <c r="B18" s="150" t="inlineStr">
        <is>
          <t xml:space="preserve">Ailen</t>
        </is>
      </c>
      <c r="C18" s="121" t="inlineStr">
        <is>
          <t xml:space="preserve">18 h</t>
        </is>
      </c>
      <c r="D18" s="121" t="inlineStr">
        <is>
          <t xml:space="preserve">Salón</t>
        </is>
      </c>
      <c r="E18" s="83">
        <v>19900</v>
      </c>
      <c r="F18" s="147" t="inlineStr">
        <is>
          <t xml:space="preserve">TORTAS</t>
        </is>
      </c>
      <c r="G18" s="147" t="inlineStr">
        <is>
          <t xml:space="preserve">1 TORTA GRIDO RELLENA + 2 VELA NUMERO X UN</t>
        </is>
      </c>
      <c r="H18" s="293" t="inlineStr">
        <is>
          <t xml:space="preserve">Rechazada</t>
        </is>
      </c>
      <c r="I18" s="147" t="inlineStr">
        <is>
          <t xml:space="preserve"/>
        </is>
      </c>
    </row>
    <row r="19">
      <c r="A19" s="146" t="inlineStr">
        <is>
          <t xml:space="preserve">Fiorito</t>
        </is>
      </c>
      <c r="B19" s="150" t="inlineStr">
        <is>
          <t xml:space="preserve">Ailen</t>
        </is>
      </c>
      <c r="C19" s="121" t="inlineStr">
        <is>
          <t xml:space="preserve">18 h</t>
        </is>
      </c>
      <c r="D19" s="121" t="inlineStr">
        <is>
          <t xml:space="preserve">Salón</t>
        </is>
      </c>
      <c r="E19" s="83">
        <v>17600</v>
      </c>
      <c r="F19" s="147" t="inlineStr">
        <is>
          <t xml:space="preserve">FAMILIAR</t>
        </is>
      </c>
      <c r="G19" s="147" t="inlineStr">
        <is>
          <t xml:space="preserve">1 FAMNº1 (CHOCOLATE/D.LECHE/AMERICANA)</t>
        </is>
      </c>
      <c r="H19" s="293" t="inlineStr">
        <is>
          <t xml:space="preserve">Rechazada</t>
        </is>
      </c>
      <c r="I19" s="147" t="inlineStr">
        <is>
          <t xml:space="preserve"/>
        </is>
      </c>
    </row>
    <row r="20">
      <c r="A20" s="146" t="inlineStr">
        <is>
          <t xml:space="preserve">Fiorito</t>
        </is>
      </c>
      <c r="B20" s="150" t="inlineStr">
        <is>
          <t xml:space="preserve">Ailen</t>
        </is>
      </c>
      <c r="C20" s="121" t="inlineStr">
        <is>
          <t xml:space="preserve">18 h</t>
        </is>
      </c>
      <c r="D20" s="121" t="inlineStr">
        <is>
          <t xml:space="preserve">Salón</t>
        </is>
      </c>
      <c r="E20" s="83">
        <v>17500</v>
      </c>
      <c r="F20" s="147" t="inlineStr">
        <is>
          <t xml:space="preserve">TORTAS</t>
        </is>
      </c>
      <c r="G20" s="147" t="inlineStr">
        <is>
          <t xml:space="preserve">1 TORTA COOKIES AND CREAM</t>
        </is>
      </c>
      <c r="H20" s="293" t="inlineStr">
        <is>
          <t xml:space="preserve">Rechazada</t>
        </is>
      </c>
      <c r="I20" s="147" t="inlineStr">
        <is>
          <t xml:space="preserve"/>
        </is>
      </c>
    </row>
    <row r="21">
      <c r="A21" s="146" t="inlineStr">
        <is>
          <t xml:space="preserve">Fiorito</t>
        </is>
      </c>
      <c r="B21" s="150" t="inlineStr">
        <is>
          <t xml:space="preserve">Ailen</t>
        </is>
      </c>
      <c r="C21" s="121" t="inlineStr">
        <is>
          <t xml:space="preserve">18 h</t>
        </is>
      </c>
      <c r="D21" s="121" t="inlineStr">
        <is>
          <t xml:space="preserve">Salón</t>
        </is>
      </c>
      <c r="E21" s="83">
        <v>13200</v>
      </c>
      <c r="F21" s="147" t="inlineStr">
        <is>
          <t xml:space="preserve">GRIDOS</t>
        </is>
      </c>
      <c r="G21" s="147" t="inlineStr">
        <is>
          <t xml:space="preserve">3 CAPUCCINO GRIDO</t>
        </is>
      </c>
      <c r="H21" s="293" t="inlineStr">
        <is>
          <t xml:space="preserve">Rechazada</t>
        </is>
      </c>
      <c r="I21" s="147" t="inlineStr">
        <is>
          <t xml:space="preserve"/>
        </is>
      </c>
    </row>
    <row r="22">
      <c r="A22" s="146" t="inlineStr">
        <is>
          <t xml:space="preserve">Fiorito</t>
        </is>
      </c>
      <c r="B22" s="150" t="inlineStr">
        <is>
          <t xml:space="preserve">Ailen</t>
        </is>
      </c>
      <c r="C22" s="121" t="inlineStr">
        <is>
          <t xml:space="preserve">18 h</t>
        </is>
      </c>
      <c r="D22" s="121" t="inlineStr">
        <is>
          <t xml:space="preserve">Salón</t>
        </is>
      </c>
      <c r="E22" s="83">
        <v>14000</v>
      </c>
      <c r="F22" s="147" t="inlineStr">
        <is>
          <t xml:space="preserve">TORTAS</t>
        </is>
      </c>
      <c r="G22" s="147" t="inlineStr">
        <is>
          <t xml:space="preserve">1 TORTA GRIDO RELLENA</t>
        </is>
      </c>
      <c r="H22" s="293" t="inlineStr">
        <is>
          <t xml:space="preserve">Rechazada</t>
        </is>
      </c>
      <c r="I22" s="147" t="inlineStr">
        <is>
          <t xml:space="preserve"/>
        </is>
      </c>
    </row>
    <row r="23">
      <c r="A23" s="146" t="inlineStr">
        <is>
          <t xml:space="preserve">Fiorito</t>
        </is>
      </c>
      <c r="B23" s="150" t="inlineStr">
        <is>
          <t xml:space="preserve">Ailen</t>
        </is>
      </c>
      <c r="C23" s="121" t="inlineStr">
        <is>
          <t xml:space="preserve">19 h</t>
        </is>
      </c>
      <c r="D23" s="121" t="inlineStr">
        <is>
          <t xml:space="preserve">Salón</t>
        </is>
      </c>
      <c r="E23" s="83">
        <v>7800</v>
      </c>
      <c r="F23" s="147" t="inlineStr">
        <is>
          <t xml:space="preserve">HELADO X BOCHA</t>
        </is>
      </c>
      <c r="G23" s="147" t="inlineStr">
        <is>
          <t xml:space="preserve">2 GIGANTE 3 BOCHAS</t>
        </is>
      </c>
      <c r="H23" s="293" t="inlineStr">
        <is>
          <t xml:space="preserve">Rechazada</t>
        </is>
      </c>
      <c r="I23" s="147" t="inlineStr">
        <is>
          <t xml:space="preserve"/>
        </is>
      </c>
    </row>
    <row r="24">
      <c r="A24" s="146" t="inlineStr">
        <is>
          <t xml:space="preserve">Fiorito</t>
        </is>
      </c>
      <c r="B24" s="150" t="inlineStr">
        <is>
          <t xml:space="preserve">Ailen</t>
        </is>
      </c>
      <c r="C24" s="121" t="inlineStr">
        <is>
          <t xml:space="preserve">19 h</t>
        </is>
      </c>
      <c r="D24" s="121" t="inlineStr">
        <is>
          <t xml:space="preserve">Salón</t>
        </is>
      </c>
      <c r="E24" s="83">
        <v>8800</v>
      </c>
      <c r="F24" s="147" t="inlineStr">
        <is>
          <t xml:space="preserve">TENTACION</t>
        </is>
      </c>
      <c r="G24" s="147" t="inlineStr">
        <is>
          <t xml:space="preserve">1 T. CHOC.ALMENDRAS</t>
        </is>
      </c>
      <c r="H24" s="293" t="inlineStr">
        <is>
          <t xml:space="preserve">Rechazada</t>
        </is>
      </c>
      <c r="I24" s="147" t="inlineStr">
        <is>
          <t xml:space="preserve"/>
        </is>
      </c>
    </row>
    <row r="25">
      <c r="A25" s="146" t="inlineStr">
        <is>
          <t xml:space="preserve">Fiorito</t>
        </is>
      </c>
      <c r="B25" s="150" t="inlineStr">
        <is>
          <t xml:space="preserve">Ailen</t>
        </is>
      </c>
      <c r="C25" s="121" t="inlineStr">
        <is>
          <t xml:space="preserve">19 h</t>
        </is>
      </c>
      <c r="D25" s="121" t="inlineStr">
        <is>
          <t xml:space="preserve">Salón</t>
        </is>
      </c>
      <c r="E25" s="83">
        <v>1100</v>
      </c>
      <c r="F25" s="147" t="inlineStr">
        <is>
          <t xml:space="preserve">PALITOS</t>
        </is>
      </c>
      <c r="G25" s="147" t="inlineStr">
        <is>
          <t xml:space="preserve">1 PALITO BOMBON DDL X UN.</t>
        </is>
      </c>
      <c r="H25" s="294" t="inlineStr">
        <is>
          <t xml:space="preserve">No ofrecida</t>
        </is>
      </c>
      <c r="I25" s="147" t="inlineStr">
        <is>
          <t xml:space="preserve"/>
        </is>
      </c>
    </row>
    <row r="26">
      <c r="A26" s="146" t="inlineStr">
        <is>
          <t xml:space="preserve">Fiorito</t>
        </is>
      </c>
      <c r="B26" s="150" t="inlineStr">
        <is>
          <t xml:space="preserve">Ailen</t>
        </is>
      </c>
      <c r="C26" s="121" t="inlineStr">
        <is>
          <t xml:space="preserve">19 h</t>
        </is>
      </c>
      <c r="D26" s="121" t="inlineStr">
        <is>
          <t xml:space="preserve">Salón</t>
        </is>
      </c>
      <c r="E26" s="83">
        <v>4400</v>
      </c>
      <c r="F26" s="147" t="inlineStr">
        <is>
          <t xml:space="preserve">GRIDOS</t>
        </is>
      </c>
      <c r="G26" s="147" t="inlineStr">
        <is>
          <t xml:space="preserve">1 CAPUCCINO GRIDO</t>
        </is>
      </c>
      <c r="H26" s="293" t="inlineStr">
        <is>
          <t xml:space="preserve">Rechazada</t>
        </is>
      </c>
      <c r="I26" s="147" t="inlineStr">
        <is>
          <t xml:space="preserve"/>
        </is>
      </c>
    </row>
    <row r="27">
      <c r="A27" s="146" t="inlineStr">
        <is>
          <t xml:space="preserve">Fiorito</t>
        </is>
      </c>
      <c r="B27" s="150" t="inlineStr">
        <is>
          <t xml:space="preserve">Ailen</t>
        </is>
      </c>
      <c r="C27" s="121" t="inlineStr">
        <is>
          <t xml:space="preserve">19 h</t>
        </is>
      </c>
      <c r="D27" s="121" t="inlineStr">
        <is>
          <t xml:space="preserve">Salón</t>
        </is>
      </c>
      <c r="E27" s="83">
        <v>800</v>
      </c>
      <c r="F27" s="147" t="inlineStr">
        <is>
          <t xml:space="preserve">PALITOS</t>
        </is>
      </c>
      <c r="G27" s="147" t="inlineStr">
        <is>
          <t xml:space="preserve">1 PALITO FRUTAL LIMON X UNIDAD</t>
        </is>
      </c>
      <c r="H27" s="294" t="inlineStr">
        <is>
          <t xml:space="preserve">No ofrecida</t>
        </is>
      </c>
      <c r="I27" s="147" t="inlineStr">
        <is>
          <t xml:space="preserve"/>
        </is>
      </c>
    </row>
    <row r="28">
      <c r="A28" s="146" t="inlineStr">
        <is>
          <t xml:space="preserve">Fiorito</t>
        </is>
      </c>
      <c r="B28" s="150" t="inlineStr">
        <is>
          <t xml:space="preserve">Ailen</t>
        </is>
      </c>
      <c r="C28" s="121" t="inlineStr">
        <is>
          <t xml:space="preserve">19 h</t>
        </is>
      </c>
      <c r="D28" s="121" t="inlineStr">
        <is>
          <t xml:space="preserve">Salón</t>
        </is>
      </c>
      <c r="E28" s="83">
        <v>6400</v>
      </c>
      <c r="F28" s="147" t="inlineStr">
        <is>
          <t xml:space="preserve">HELADO X  KILO</t>
        </is>
      </c>
      <c r="G28" s="147" t="inlineStr">
        <is>
          <t xml:space="preserve">1 1/4  KILO</t>
        </is>
      </c>
      <c r="H28" s="293" t="inlineStr">
        <is>
          <t xml:space="preserve">Rechazada</t>
        </is>
      </c>
      <c r="I28" s="147" t="inlineStr">
        <is>
          <t xml:space="preserve"/>
        </is>
      </c>
    </row>
    <row r="29">
      <c r="A29" s="146" t="inlineStr">
        <is>
          <t xml:space="preserve">Fiorito</t>
        </is>
      </c>
      <c r="B29" s="150" t="inlineStr">
        <is>
          <t xml:space="preserve">Ailen</t>
        </is>
      </c>
      <c r="C29" s="121" t="inlineStr">
        <is>
          <t xml:space="preserve">19 h</t>
        </is>
      </c>
      <c r="D29" s="121" t="inlineStr">
        <is>
          <t xml:space="preserve">Salón</t>
        </is>
      </c>
      <c r="E29" s="83">
        <v>17900</v>
      </c>
      <c r="F29" s="147" t="inlineStr">
        <is>
          <t xml:space="preserve">HELADO X  KILO</t>
        </is>
      </c>
      <c r="G29" s="147" t="inlineStr">
        <is>
          <t xml:space="preserve">1 1 KILO + 1 CUPS CONITO X 5 UN.</t>
        </is>
      </c>
      <c r="H29" s="293" t="inlineStr">
        <is>
          <t xml:space="preserve">Rechazada</t>
        </is>
      </c>
      <c r="I29" s="147" t="inlineStr">
        <is>
          <t xml:space="preserve"/>
        </is>
      </c>
    </row>
    <row r="30">
      <c r="A30" s="146" t="inlineStr">
        <is>
          <t xml:space="preserve">Fiorito</t>
        </is>
      </c>
      <c r="B30" s="150" t="inlineStr">
        <is>
          <t xml:space="preserve">Ailen</t>
        </is>
      </c>
      <c r="C30" s="121" t="inlineStr">
        <is>
          <t xml:space="preserve">19 h</t>
        </is>
      </c>
      <c r="D30" s="121" t="inlineStr">
        <is>
          <t xml:space="preserve">Salón</t>
        </is>
      </c>
      <c r="E30" s="83">
        <v>28100</v>
      </c>
      <c r="F30" s="147" t="inlineStr">
        <is>
          <t xml:space="preserve">HELADO X  KILO</t>
        </is>
      </c>
      <c r="G30" s="147" t="inlineStr">
        <is>
          <t xml:space="preserve">1 1 KILO + 1 T.1 LT DDL GRANIZADO + 2 CUPS BLACK X 3</t>
        </is>
      </c>
      <c r="H30" s="293" t="inlineStr">
        <is>
          <t xml:space="preserve">Rechazada</t>
        </is>
      </c>
      <c r="I30" s="147" t="inlineStr">
        <is>
          <t xml:space="preserve"/>
        </is>
      </c>
    </row>
    <row r="31">
      <c r="A31" s="146" t="inlineStr">
        <is>
          <t xml:space="preserve">Fiorito</t>
        </is>
      </c>
      <c r="B31" s="150" t="inlineStr">
        <is>
          <t xml:space="preserve">Ailen</t>
        </is>
      </c>
      <c r="C31" s="121" t="inlineStr">
        <is>
          <t xml:space="preserve">19 h</t>
        </is>
      </c>
      <c r="D31" s="121" t="inlineStr">
        <is>
          <t xml:space="preserve">Salón</t>
        </is>
      </c>
      <c r="E31" s="83">
        <v>17600</v>
      </c>
      <c r="F31" s="147" t="inlineStr">
        <is>
          <t xml:space="preserve">FAMILIAR</t>
        </is>
      </c>
      <c r="G31" s="147" t="inlineStr">
        <is>
          <t xml:space="preserve">1 FAMNº4 (D.LECHE G/VAINILLA/CHOCOLATE)</t>
        </is>
      </c>
      <c r="H31" s="293" t="inlineStr">
        <is>
          <t xml:space="preserve">Rechazada</t>
        </is>
      </c>
      <c r="I31" s="147" t="inlineStr">
        <is>
          <t xml:space="preserve"/>
        </is>
      </c>
    </row>
    <row r="32">
      <c r="A32" s="146" t="inlineStr">
        <is>
          <t xml:space="preserve">Fiorito</t>
        </is>
      </c>
      <c r="B32" s="150" t="inlineStr">
        <is>
          <t xml:space="preserve">Ailen</t>
        </is>
      </c>
      <c r="C32" s="121" t="inlineStr">
        <is>
          <t xml:space="preserve">19 h</t>
        </is>
      </c>
      <c r="D32" s="121" t="inlineStr">
        <is>
          <t xml:space="preserve">Salón</t>
        </is>
      </c>
      <c r="E32" s="83">
        <v>22500</v>
      </c>
      <c r="F32" s="147" t="inlineStr">
        <is>
          <t xml:space="preserve">TORTAS</t>
        </is>
      </c>
      <c r="G32" s="147" t="inlineStr">
        <is>
          <t xml:space="preserve">1 TORTA FRUTILLAS CON CREMA</t>
        </is>
      </c>
      <c r="H32" s="227" t="inlineStr">
        <is>
          <t xml:space="preserve">Aceptada</t>
        </is>
      </c>
      <c r="I32" s="150" t="inlineStr">
        <is>
          <t xml:space="preserve">1 1/4  KILO</t>
        </is>
      </c>
    </row>
    <row r="33">
      <c r="A33" s="146" t="inlineStr">
        <is>
          <t xml:space="preserve">Fiorito</t>
        </is>
      </c>
      <c r="B33" s="150" t="inlineStr">
        <is>
          <t xml:space="preserve">Ailen</t>
        </is>
      </c>
      <c r="C33" s="121" t="inlineStr">
        <is>
          <t xml:space="preserve">19 h</t>
        </is>
      </c>
      <c r="D33" s="121" t="inlineStr">
        <is>
          <t xml:space="preserve">Salón</t>
        </is>
      </c>
      <c r="E33" s="83">
        <v>16900</v>
      </c>
      <c r="F33" s="147" t="inlineStr">
        <is>
          <t xml:space="preserve">HELADO X  KILO</t>
        </is>
      </c>
      <c r="G33" s="147" t="inlineStr">
        <is>
          <t xml:space="preserve">1 1 KILO</t>
        </is>
      </c>
      <c r="H33" s="293" t="inlineStr">
        <is>
          <t xml:space="preserve">Rechazada</t>
        </is>
      </c>
      <c r="I33" s="147" t="inlineStr">
        <is>
          <t xml:space="preserve"/>
        </is>
      </c>
    </row>
    <row r="34">
      <c r="A34" s="146" t="inlineStr">
        <is>
          <t xml:space="preserve">Fiorito</t>
        </is>
      </c>
      <c r="B34" s="150" t="inlineStr">
        <is>
          <t xml:space="preserve">Ailen</t>
        </is>
      </c>
      <c r="C34" s="121" t="inlineStr">
        <is>
          <t xml:space="preserve">19 h</t>
        </is>
      </c>
      <c r="D34" s="121" t="inlineStr">
        <is>
          <t xml:space="preserve">Salón</t>
        </is>
      </c>
      <c r="E34" s="83">
        <v>16900</v>
      </c>
      <c r="F34" s="147" t="inlineStr">
        <is>
          <t xml:space="preserve">HELADO X  KILO</t>
        </is>
      </c>
      <c r="G34" s="147" t="inlineStr">
        <is>
          <t xml:space="preserve">1 1 KILO</t>
        </is>
      </c>
      <c r="H34" s="293" t="inlineStr">
        <is>
          <t xml:space="preserve">Rechazada</t>
        </is>
      </c>
      <c r="I34" s="147" t="inlineStr">
        <is>
          <t xml:space="preserve"/>
        </is>
      </c>
    </row>
    <row r="35">
      <c r="A35" s="146" t="inlineStr">
        <is>
          <t xml:space="preserve">Fiorito</t>
        </is>
      </c>
      <c r="B35" s="150" t="inlineStr">
        <is>
          <t xml:space="preserve">Ailen</t>
        </is>
      </c>
      <c r="C35" s="121" t="inlineStr">
        <is>
          <t xml:space="preserve">19 h</t>
        </is>
      </c>
      <c r="D35" s="121" t="inlineStr">
        <is>
          <t xml:space="preserve">Salón</t>
        </is>
      </c>
      <c r="E35" s="83">
        <v>6000</v>
      </c>
      <c r="F35" s="147" t="inlineStr">
        <is>
          <t xml:space="preserve">SALSAS</t>
        </is>
      </c>
      <c r="G35" s="147" t="inlineStr">
        <is>
          <t xml:space="preserve">1 SALSA FRUTILLA X 500</t>
        </is>
      </c>
      <c r="H35" s="293" t="inlineStr">
        <is>
          <t xml:space="preserve">Rechazada</t>
        </is>
      </c>
      <c r="I35" s="147" t="inlineStr">
        <is>
          <t xml:space="preserve"/>
        </is>
      </c>
    </row>
    <row r="36">
      <c r="A36" s="146" t="inlineStr">
        <is>
          <t xml:space="preserve">Fiorito</t>
        </is>
      </c>
      <c r="B36" s="150" t="inlineStr">
        <is>
          <t xml:space="preserve">Ailen</t>
        </is>
      </c>
      <c r="C36" s="121" t="inlineStr">
        <is>
          <t xml:space="preserve">20 h</t>
        </is>
      </c>
      <c r="D36" s="121" t="inlineStr">
        <is>
          <t xml:space="preserve">Salón</t>
        </is>
      </c>
      <c r="E36" s="83">
        <v>18600</v>
      </c>
      <c r="F36" s="147" t="inlineStr">
        <is>
          <t xml:space="preserve">TORTAS</t>
        </is>
      </c>
      <c r="G36" s="147" t="inlineStr">
        <is>
          <t xml:space="preserve">1 TORTA FRUTILLAS CON CREMA + 1 PALITO BOMBON X UNIDAD</t>
        </is>
      </c>
      <c r="H36" s="293" t="inlineStr">
        <is>
          <t xml:space="preserve">Rechazada</t>
        </is>
      </c>
      <c r="I36" s="147" t="inlineStr">
        <is>
          <t xml:space="preserve"/>
        </is>
      </c>
    </row>
    <row r="37">
      <c r="A37" s="146" t="inlineStr">
        <is>
          <t xml:space="preserve">Fiorito</t>
        </is>
      </c>
      <c r="B37" s="150" t="inlineStr">
        <is>
          <t xml:space="preserve">Ailen</t>
        </is>
      </c>
      <c r="C37" s="121" t="inlineStr">
        <is>
          <t xml:space="preserve">20 h</t>
        </is>
      </c>
      <c r="D37" s="121" t="inlineStr">
        <is>
          <t xml:space="preserve">Salón</t>
        </is>
      </c>
      <c r="E37" s="83">
        <v>10600</v>
      </c>
      <c r="F37" s="147" t="inlineStr">
        <is>
          <t xml:space="preserve">GRIDOS</t>
        </is>
      </c>
      <c r="G37" s="147" t="inlineStr">
        <is>
          <t xml:space="preserve">1 GRIDO BATIDO + 1 TACITA 2 BOCHAS + 1 MINI GIGANTE</t>
        </is>
      </c>
      <c r="H37" s="293" t="inlineStr">
        <is>
          <t xml:space="preserve">Rechazada</t>
        </is>
      </c>
      <c r="I37" s="147" t="inlineStr">
        <is>
          <t xml:space="preserve"/>
        </is>
      </c>
    </row>
    <row r="38">
      <c r="A38" s="146" t="inlineStr">
        <is>
          <t xml:space="preserve">Fiorito</t>
        </is>
      </c>
      <c r="B38" s="150" t="inlineStr">
        <is>
          <t xml:space="preserve">Ailen</t>
        </is>
      </c>
      <c r="C38" s="121" t="inlineStr">
        <is>
          <t xml:space="preserve">20 h</t>
        </is>
      </c>
      <c r="D38" s="121" t="inlineStr">
        <is>
          <t xml:space="preserve">Salón</t>
        </is>
      </c>
      <c r="E38" s="83">
        <v>16900</v>
      </c>
      <c r="F38" s="147" t="inlineStr">
        <is>
          <t xml:space="preserve">HELADO X  KILO</t>
        </is>
      </c>
      <c r="G38" s="147" t="inlineStr">
        <is>
          <t xml:space="preserve">1 1 KILO</t>
        </is>
      </c>
      <c r="H38" s="293" t="inlineStr">
        <is>
          <t xml:space="preserve">Rechazada</t>
        </is>
      </c>
      <c r="I38" s="147" t="inlineStr">
        <is>
          <t xml:space="preserve"/>
        </is>
      </c>
    </row>
    <row r="39">
      <c r="A39" s="146" t="inlineStr">
        <is>
          <t xml:space="preserve">Fiorito</t>
        </is>
      </c>
      <c r="B39" s="150" t="inlineStr">
        <is>
          <t xml:space="preserve">Ailen</t>
        </is>
      </c>
      <c r="C39" s="121" t="inlineStr">
        <is>
          <t xml:space="preserve">20 h</t>
        </is>
      </c>
      <c r="D39" s="121" t="inlineStr">
        <is>
          <t xml:space="preserve">Salón</t>
        </is>
      </c>
      <c r="E39" s="83">
        <v>8500</v>
      </c>
      <c r="F39" s="147" t="inlineStr">
        <is>
          <t xml:space="preserve">HELADO X BOCHA</t>
        </is>
      </c>
      <c r="G39" s="147" t="inlineStr">
        <is>
          <t xml:space="preserve">2 GIGANTE 3 BOCHAS + 1 BAÑO DE CHOCOLATE</t>
        </is>
      </c>
      <c r="H39" s="293" t="inlineStr">
        <is>
          <t xml:space="preserve">Rechazada</t>
        </is>
      </c>
      <c r="I39" s="147" t="inlineStr">
        <is>
          <t xml:space="preserve"/>
        </is>
      </c>
    </row>
    <row r="40">
      <c r="A40" s="146" t="inlineStr">
        <is>
          <t xml:space="preserve">Fiorito</t>
        </is>
      </c>
      <c r="B40" s="150" t="inlineStr">
        <is>
          <t xml:space="preserve">Ailen</t>
        </is>
      </c>
      <c r="C40" s="121" t="inlineStr">
        <is>
          <t xml:space="preserve">20 h</t>
        </is>
      </c>
      <c r="D40" s="121" t="inlineStr">
        <is>
          <t xml:space="preserve">Salón</t>
        </is>
      </c>
      <c r="E40" s="83">
        <v>1800</v>
      </c>
      <c r="F40" s="147" t="inlineStr">
        <is>
          <t xml:space="preserve">PALITOS</t>
        </is>
      </c>
      <c r="G40" s="147" t="inlineStr">
        <is>
          <t xml:space="preserve">2 P.CREM.FRUTILLA X UNIDAD</t>
        </is>
      </c>
      <c r="H40" s="294" t="inlineStr">
        <is>
          <t xml:space="preserve">No ofrecida</t>
        </is>
      </c>
      <c r="I40" s="147" t="inlineStr">
        <is>
          <t xml:space="preserve"/>
        </is>
      </c>
    </row>
    <row r="41">
      <c r="A41" s="146" t="inlineStr">
        <is>
          <t xml:space="preserve">Fiorito</t>
        </is>
      </c>
      <c r="B41" s="150" t="inlineStr">
        <is>
          <t xml:space="preserve">Ailen</t>
        </is>
      </c>
      <c r="C41" s="121" t="inlineStr">
        <is>
          <t xml:space="preserve">20 h</t>
        </is>
      </c>
      <c r="D41" s="121" t="inlineStr">
        <is>
          <t xml:space="preserve">Salón</t>
        </is>
      </c>
      <c r="E41" s="83">
        <v>17300</v>
      </c>
      <c r="F41" s="147" t="inlineStr">
        <is>
          <t xml:space="preserve">HELADO X BOCHA</t>
        </is>
      </c>
      <c r="G41" s="147" t="inlineStr">
        <is>
          <t xml:space="preserve">1 GRIDOTOY 2 B. CUCU PUQUI MUCHI + 1 CAPUCCINO GRIDO + 1 GRIDOTOY 1 B. CUCU. PUQUI MUCHI + 1 GIGANTE 2 BOCHAS</t>
        </is>
      </c>
      <c r="H41" s="293" t="inlineStr">
        <is>
          <t xml:space="preserve">Rechazada</t>
        </is>
      </c>
      <c r="I41" s="147" t="inlineStr">
        <is>
          <t xml:space="preserve"/>
        </is>
      </c>
    </row>
    <row r="42">
      <c r="A42" s="146" t="inlineStr">
        <is>
          <t xml:space="preserve">Fiorito</t>
        </is>
      </c>
      <c r="B42" s="150" t="inlineStr">
        <is>
          <t xml:space="preserve">Ailen</t>
        </is>
      </c>
      <c r="C42" s="121" t="inlineStr">
        <is>
          <t xml:space="preserve">20 h</t>
        </is>
      </c>
      <c r="D42" s="121" t="inlineStr">
        <is>
          <t xml:space="preserve">Salón</t>
        </is>
      </c>
      <c r="E42" s="83">
        <v>26400</v>
      </c>
      <c r="F42" s="147" t="inlineStr">
        <is>
          <t xml:space="preserve">FAMILIAR</t>
        </is>
      </c>
      <c r="G42" s="147" t="inlineStr">
        <is>
          <t xml:space="preserve">1 FAMNº4 (D.LECHE G/VAINILLA/CHOCOLATE) + 1 T. COOKIE</t>
        </is>
      </c>
      <c r="H42" s="293" t="inlineStr">
        <is>
          <t xml:space="preserve">Rechazada</t>
        </is>
      </c>
      <c r="I42" s="147" t="inlineStr">
        <is>
          <t xml:space="preserve"/>
        </is>
      </c>
    </row>
    <row r="43">
      <c r="A43" s="146" t="inlineStr">
        <is>
          <t xml:space="preserve">Fiorito</t>
        </is>
      </c>
      <c r="B43" s="150" t="inlineStr">
        <is>
          <t xml:space="preserve">Ailen</t>
        </is>
      </c>
      <c r="C43" s="121" t="inlineStr">
        <is>
          <t xml:space="preserve">20 h</t>
        </is>
      </c>
      <c r="D43" s="121" t="inlineStr">
        <is>
          <t xml:space="preserve">Salón</t>
        </is>
      </c>
      <c r="E43" s="83">
        <v>16900</v>
      </c>
      <c r="F43" s="147" t="inlineStr">
        <is>
          <t xml:space="preserve">HELADO X  KILO</t>
        </is>
      </c>
      <c r="G43" s="147" t="inlineStr">
        <is>
          <t xml:space="preserve">1 1 KILO</t>
        </is>
      </c>
      <c r="H43" s="293" t="inlineStr">
        <is>
          <t xml:space="preserve">Rechazada</t>
        </is>
      </c>
      <c r="I43" s="147" t="inlineStr">
        <is>
          <t xml:space="preserve"/>
        </is>
      </c>
    </row>
    <row r="44">
      <c r="A44" s="146" t="inlineStr">
        <is>
          <t xml:space="preserve">Fiorito</t>
        </is>
      </c>
      <c r="B44" s="150" t="inlineStr">
        <is>
          <t xml:space="preserve">Ailen</t>
        </is>
      </c>
      <c r="C44" s="121" t="inlineStr">
        <is>
          <t xml:space="preserve">20 h</t>
        </is>
      </c>
      <c r="D44" s="121" t="inlineStr">
        <is>
          <t xml:space="preserve">Salón</t>
        </is>
      </c>
      <c r="E44" s="83">
        <v>18000</v>
      </c>
      <c r="F44" s="147" t="inlineStr">
        <is>
          <t xml:space="preserve">HELADO X  KILO</t>
        </is>
      </c>
      <c r="G44" s="147" t="inlineStr">
        <is>
          <t xml:space="preserve">1 1/2  KILO</t>
        </is>
      </c>
      <c r="H44" s="227" t="inlineStr">
        <is>
          <t xml:space="preserve">Aceptada</t>
        </is>
      </c>
      <c r="I44" s="150" t="inlineStr">
        <is>
          <t xml:space="preserve">1 1/2  KILO</t>
        </is>
      </c>
    </row>
    <row r="45">
      <c r="A45" s="146" t="inlineStr">
        <is>
          <t xml:space="preserve">Fiorito</t>
        </is>
      </c>
      <c r="B45" s="150" t="inlineStr">
        <is>
          <t xml:space="preserve">Ailen</t>
        </is>
      </c>
      <c r="C45" s="121" t="inlineStr">
        <is>
          <t xml:space="preserve">20 h</t>
        </is>
      </c>
      <c r="D45" s="121" t="inlineStr">
        <is>
          <t xml:space="preserve">Salón</t>
        </is>
      </c>
      <c r="E45" s="83">
        <v>25600</v>
      </c>
      <c r="F45" s="147" t="inlineStr">
        <is>
          <t xml:space="preserve">HELADO X  KILO</t>
        </is>
      </c>
      <c r="G45" s="147" t="inlineStr">
        <is>
          <t xml:space="preserve">4 1/4  KILO</t>
        </is>
      </c>
      <c r="H45" s="293" t="inlineStr">
        <is>
          <t xml:space="preserve">Rechazada</t>
        </is>
      </c>
      <c r="I45" s="147" t="inlineStr">
        <is>
          <t xml:space="preserve"/>
        </is>
      </c>
    </row>
    <row r="46">
      <c r="A46" s="146" t="inlineStr">
        <is>
          <t xml:space="preserve">Fiorito</t>
        </is>
      </c>
      <c r="B46" s="150" t="inlineStr">
        <is>
          <t xml:space="preserve">Ailen</t>
        </is>
      </c>
      <c r="C46" s="121" t="inlineStr">
        <is>
          <t xml:space="preserve">20 h</t>
        </is>
      </c>
      <c r="D46" s="121" t="inlineStr">
        <is>
          <t xml:space="preserve">Salón</t>
        </is>
      </c>
      <c r="E46" s="83">
        <v>13300</v>
      </c>
      <c r="F46" s="147" t="inlineStr">
        <is>
          <t xml:space="preserve">POSTRES</t>
        </is>
      </c>
      <c r="G46" s="147" t="inlineStr">
        <is>
          <t xml:space="preserve">1 BOMBON CROCANTE EN CAJA X 8</t>
        </is>
      </c>
      <c r="H46" s="293" t="inlineStr">
        <is>
          <t xml:space="preserve">Rechazada</t>
        </is>
      </c>
      <c r="I46" s="147" t="inlineStr">
        <is>
          <t xml:space="preserve"/>
        </is>
      </c>
    </row>
    <row r="47">
      <c r="A47" s="146" t="inlineStr">
        <is>
          <t xml:space="preserve">Fiorito</t>
        </is>
      </c>
      <c r="B47" s="150" t="inlineStr">
        <is>
          <t xml:space="preserve">Ailen</t>
        </is>
      </c>
      <c r="C47" s="121" t="inlineStr">
        <is>
          <t xml:space="preserve">20 h</t>
        </is>
      </c>
      <c r="D47" s="121" t="inlineStr">
        <is>
          <t xml:space="preserve">Salón</t>
        </is>
      </c>
      <c r="E47" s="83">
        <v>10000</v>
      </c>
      <c r="F47" s="147" t="inlineStr">
        <is>
          <t xml:space="preserve">HELADO X  KILO</t>
        </is>
      </c>
      <c r="G47" s="147" t="inlineStr">
        <is>
          <t xml:space="preserve">1 1/2  KILO</t>
        </is>
      </c>
      <c r="H47" s="293" t="inlineStr">
        <is>
          <t xml:space="preserve">Rechazada</t>
        </is>
      </c>
      <c r="I47" s="147" t="inlineStr">
        <is>
          <t xml:space="preserve"/>
        </is>
      </c>
    </row>
    <row r="48">
      <c r="A48" s="146" t="inlineStr">
        <is>
          <t xml:space="preserve">Fiorito</t>
        </is>
      </c>
      <c r="B48" s="150" t="inlineStr">
        <is>
          <t xml:space="preserve">Ailen</t>
        </is>
      </c>
      <c r="C48" s="121" t="inlineStr">
        <is>
          <t xml:space="preserve">20 h</t>
        </is>
      </c>
      <c r="D48" s="121" t="inlineStr">
        <is>
          <t xml:space="preserve">Salón</t>
        </is>
      </c>
      <c r="E48" s="83">
        <v>10800</v>
      </c>
      <c r="F48" s="147" t="inlineStr">
        <is>
          <t xml:space="preserve">HELADO X  KILO</t>
        </is>
      </c>
      <c r="G48" s="147" t="inlineStr">
        <is>
          <t xml:space="preserve">1 1/4  KILO + 1 CAPUCCINO GRIDO</t>
        </is>
      </c>
      <c r="H48" s="293" t="inlineStr">
        <is>
          <t xml:space="preserve">Rechazada</t>
        </is>
      </c>
      <c r="I48" s="147" t="inlineStr">
        <is>
          <t xml:space="preserve"/>
        </is>
      </c>
    </row>
    <row r="49">
      <c r="A49" s="146" t="inlineStr">
        <is>
          <t xml:space="preserve">Fiorito</t>
        </is>
      </c>
      <c r="B49" s="150" t="inlineStr">
        <is>
          <t xml:space="preserve">Ailen</t>
        </is>
      </c>
      <c r="C49" s="121" t="inlineStr">
        <is>
          <t xml:space="preserve">20 h</t>
        </is>
      </c>
      <c r="D49" s="121" t="inlineStr">
        <is>
          <t xml:space="preserve">Salón</t>
        </is>
      </c>
      <c r="E49" s="83">
        <v>29900</v>
      </c>
      <c r="F49" s="147" t="inlineStr">
        <is>
          <t xml:space="preserve">POSTRES</t>
        </is>
      </c>
      <c r="G49" s="147" t="inlineStr">
        <is>
          <t xml:space="preserve">1 BOMBÓN CHOCO AVELLANAS CAJA X 8 + 2 FRUTILLAS DOBLE CHOCOLATE - GRIDO + 1 CAPUCCINO GRIDO</t>
        </is>
      </c>
      <c r="H49" s="293" t="inlineStr">
        <is>
          <t xml:space="preserve">Rechazada</t>
        </is>
      </c>
      <c r="I49" s="147" t="inlineStr">
        <is>
          <t xml:space="preserve"/>
        </is>
      </c>
    </row>
    <row r="50">
      <c r="A50" s="146" t="inlineStr">
        <is>
          <t xml:space="preserve">Fiorito</t>
        </is>
      </c>
      <c r="B50" s="150" t="inlineStr">
        <is>
          <t xml:space="preserve">Ailen</t>
        </is>
      </c>
      <c r="C50" s="121" t="inlineStr">
        <is>
          <t xml:space="preserve">20 h</t>
        </is>
      </c>
      <c r="D50" s="121" t="inlineStr">
        <is>
          <t xml:space="preserve">Salón</t>
        </is>
      </c>
      <c r="E50" s="83">
        <v>12300</v>
      </c>
      <c r="F50" s="147" t="inlineStr">
        <is>
          <t xml:space="preserve">PALITOS</t>
        </is>
      </c>
      <c r="G50" s="147" t="inlineStr">
        <is>
          <t xml:space="preserve">1 PALITO BOMBÓN X10 UN.</t>
        </is>
      </c>
      <c r="H50" s="227" t="inlineStr">
        <is>
          <t xml:space="preserve">Aceptada</t>
        </is>
      </c>
      <c r="I50" s="150" t="inlineStr">
        <is>
          <t xml:space="preserve">1 1/4  KILO</t>
        </is>
      </c>
    </row>
    <row r="51">
      <c r="A51" s="146" t="inlineStr">
        <is>
          <t xml:space="preserve">Fiorito</t>
        </is>
      </c>
      <c r="B51" s="150" t="inlineStr">
        <is>
          <t xml:space="preserve">Ailen</t>
        </is>
      </c>
      <c r="C51" s="121" t="inlineStr">
        <is>
          <t xml:space="preserve">20 h</t>
        </is>
      </c>
      <c r="D51" s="121" t="inlineStr">
        <is>
          <t xml:space="preserve">Salón</t>
        </is>
      </c>
      <c r="E51" s="83">
        <v>4400</v>
      </c>
      <c r="F51" s="147" t="inlineStr">
        <is>
          <t xml:space="preserve">HELADO X BOCHA</t>
        </is>
      </c>
      <c r="G51" s="147" t="inlineStr">
        <is>
          <t xml:space="preserve">1 GRIDOTOY 1 B.TACITA PUQUI MUCHI</t>
        </is>
      </c>
      <c r="H51" s="293" t="inlineStr">
        <is>
          <t xml:space="preserve">Rechazada</t>
        </is>
      </c>
      <c r="I51" s="147" t="inlineStr">
        <is>
          <t xml:space="preserve"/>
        </is>
      </c>
    </row>
    <row r="52">
      <c r="A52" s="146" t="inlineStr">
        <is>
          <t xml:space="preserve">Fiorito</t>
        </is>
      </c>
      <c r="B52" s="150" t="inlineStr">
        <is>
          <t xml:space="preserve">Ailen</t>
        </is>
      </c>
      <c r="C52" s="121" t="inlineStr">
        <is>
          <t xml:space="preserve">20 h</t>
        </is>
      </c>
      <c r="D52" s="121" t="inlineStr">
        <is>
          <t xml:space="preserve">Salón</t>
        </is>
      </c>
      <c r="E52" s="83">
        <v>17500</v>
      </c>
      <c r="F52" s="147" t="inlineStr">
        <is>
          <t xml:space="preserve">TORTAS</t>
        </is>
      </c>
      <c r="G52" s="147" t="inlineStr">
        <is>
          <t xml:space="preserve">1 TORTA COOKIES AND CREAM</t>
        </is>
      </c>
      <c r="H52" s="293" t="inlineStr">
        <is>
          <t xml:space="preserve">Rechazada</t>
        </is>
      </c>
      <c r="I52" s="147" t="inlineStr">
        <is>
          <t xml:space="preserve"/>
        </is>
      </c>
    </row>
    <row r="53">
      <c r="A53" s="146" t="inlineStr">
        <is>
          <t xml:space="preserve">Fiorito</t>
        </is>
      </c>
      <c r="B53" s="150" t="inlineStr">
        <is>
          <t xml:space="preserve">Ailen</t>
        </is>
      </c>
      <c r="C53" s="121" t="inlineStr">
        <is>
          <t xml:space="preserve">20 h</t>
        </is>
      </c>
      <c r="D53" s="121" t="inlineStr">
        <is>
          <t xml:space="preserve">Salón</t>
        </is>
      </c>
      <c r="E53" s="83">
        <v>16900</v>
      </c>
      <c r="F53" s="147" t="inlineStr">
        <is>
          <t xml:space="preserve">HELADO X  KILO</t>
        </is>
      </c>
      <c r="G53" s="147" t="inlineStr">
        <is>
          <t xml:space="preserve">1 1 KILO</t>
        </is>
      </c>
      <c r="H53" s="293" t="inlineStr">
        <is>
          <t xml:space="preserve">Rechazada</t>
        </is>
      </c>
      <c r="I53" s="147" t="inlineStr">
        <is>
          <t xml:space="preserve"/>
        </is>
      </c>
    </row>
    <row r="54">
      <c r="A54" s="146" t="inlineStr">
        <is>
          <t xml:space="preserve">Fiorito</t>
        </is>
      </c>
      <c r="B54" s="150" t="inlineStr">
        <is>
          <t xml:space="preserve">Ailen</t>
        </is>
      </c>
      <c r="C54" s="121" t="inlineStr">
        <is>
          <t xml:space="preserve">20 h</t>
        </is>
      </c>
      <c r="D54" s="121" t="inlineStr">
        <is>
          <t xml:space="preserve">Salón</t>
        </is>
      </c>
      <c r="E54" s="83">
        <v>6400</v>
      </c>
      <c r="F54" s="147" t="inlineStr">
        <is>
          <t xml:space="preserve">HELADO X  KILO</t>
        </is>
      </c>
      <c r="G54" s="147" t="inlineStr">
        <is>
          <t xml:space="preserve">1 1/4  KILO</t>
        </is>
      </c>
      <c r="H54" s="293" t="inlineStr">
        <is>
          <t xml:space="preserve">Rechazada</t>
        </is>
      </c>
      <c r="I54" s="147" t="inlineStr">
        <is>
          <t xml:space="preserve"/>
        </is>
      </c>
    </row>
    <row r="55">
      <c r="A55" s="146" t="inlineStr">
        <is>
          <t xml:space="preserve">Fiorito</t>
        </is>
      </c>
      <c r="B55" s="150" t="inlineStr">
        <is>
          <t xml:space="preserve">Ailen</t>
        </is>
      </c>
      <c r="C55" s="121" t="inlineStr">
        <is>
          <t xml:space="preserve">21 h</t>
        </is>
      </c>
      <c r="D55" s="121" t="inlineStr">
        <is>
          <t xml:space="preserve">Salón</t>
        </is>
      </c>
      <c r="E55" s="83">
        <v>6400</v>
      </c>
      <c r="F55" s="147" t="inlineStr">
        <is>
          <t xml:space="preserve">HELADO X  KILO</t>
        </is>
      </c>
      <c r="G55" s="147" t="inlineStr">
        <is>
          <t xml:space="preserve">1 1/4  KILO</t>
        </is>
      </c>
      <c r="H55" s="293" t="inlineStr">
        <is>
          <t xml:space="preserve">Rechazada</t>
        </is>
      </c>
      <c r="I55" s="147" t="inlineStr">
        <is>
          <t xml:space="preserve"/>
        </is>
      </c>
    </row>
    <row r="56">
      <c r="A56" s="146" t="inlineStr">
        <is>
          <t xml:space="preserve">Fiorito</t>
        </is>
      </c>
      <c r="B56" s="150" t="inlineStr">
        <is>
          <t xml:space="preserve">Ailen</t>
        </is>
      </c>
      <c r="C56" s="121" t="inlineStr">
        <is>
          <t xml:space="preserve">21 h</t>
        </is>
      </c>
      <c r="D56" s="121" t="inlineStr">
        <is>
          <t xml:space="preserve">Salón</t>
        </is>
      </c>
      <c r="E56" s="83">
        <v>10000</v>
      </c>
      <c r="F56" s="147" t="inlineStr">
        <is>
          <t xml:space="preserve">HELADO X  KILO</t>
        </is>
      </c>
      <c r="G56" s="147" t="inlineStr">
        <is>
          <t xml:space="preserve">1 1/2  KILO</t>
        </is>
      </c>
      <c r="H56" s="293" t="inlineStr">
        <is>
          <t xml:space="preserve">Rechazada</t>
        </is>
      </c>
      <c r="I56" s="147" t="inlineStr">
        <is>
          <t xml:space="preserve"/>
        </is>
      </c>
    </row>
    <row r="57">
      <c r="A57" s="146" t="inlineStr">
        <is>
          <t xml:space="preserve">Fiorito</t>
        </is>
      </c>
      <c r="B57" s="150" t="inlineStr">
        <is>
          <t xml:space="preserve">Ailen</t>
        </is>
      </c>
      <c r="C57" s="121" t="inlineStr">
        <is>
          <t xml:space="preserve">21 h</t>
        </is>
      </c>
      <c r="D57" s="121" t="inlineStr">
        <is>
          <t xml:space="preserve">Salón</t>
        </is>
      </c>
      <c r="E57" s="83">
        <v>37400</v>
      </c>
      <c r="F57" s="147" t="inlineStr">
        <is>
          <t xml:space="preserve">TORTAS</t>
        </is>
      </c>
      <c r="G57" s="147" t="inlineStr">
        <is>
          <t xml:space="preserve">1 TORTA COOKIES AND CREAM + 1 TORTA GRIDO RELLENA + 2 VELA NUMERO X UN</t>
        </is>
      </c>
      <c r="H57" s="293" t="inlineStr">
        <is>
          <t xml:space="preserve">Rechazada</t>
        </is>
      </c>
      <c r="I57" s="147" t="inlineStr">
        <is>
          <t xml:space="preserve"/>
        </is>
      </c>
    </row>
    <row r="58">
      <c r="A58" s="146" t="inlineStr">
        <is>
          <t xml:space="preserve">Fiorito</t>
        </is>
      </c>
      <c r="B58" s="150" t="inlineStr">
        <is>
          <t xml:space="preserve">Ailen</t>
        </is>
      </c>
      <c r="C58" s="121" t="inlineStr">
        <is>
          <t xml:space="preserve">21 h</t>
        </is>
      </c>
      <c r="D58" s="121" t="inlineStr">
        <is>
          <t xml:space="preserve">Salón</t>
        </is>
      </c>
      <c r="E58" s="83">
        <v>10000</v>
      </c>
      <c r="F58" s="147" t="inlineStr">
        <is>
          <t xml:space="preserve">HELADO X  KILO</t>
        </is>
      </c>
      <c r="G58" s="147" t="inlineStr">
        <is>
          <t xml:space="preserve">1 1/2  KILO</t>
        </is>
      </c>
      <c r="H58" s="293" t="inlineStr">
        <is>
          <t xml:space="preserve">Rechazada</t>
        </is>
      </c>
      <c r="I58" s="147" t="inlineStr">
        <is>
          <t xml:space="preserve"/>
        </is>
      </c>
    </row>
    <row r="59">
      <c r="A59" s="146" t="inlineStr">
        <is>
          <t xml:space="preserve">Fiorito</t>
        </is>
      </c>
      <c r="B59" s="150" t="inlineStr">
        <is>
          <t xml:space="preserve">Ailen</t>
        </is>
      </c>
      <c r="C59" s="121" t="inlineStr">
        <is>
          <t xml:space="preserve">21 h</t>
        </is>
      </c>
      <c r="D59" s="121" t="inlineStr">
        <is>
          <t xml:space="preserve">Salón</t>
        </is>
      </c>
      <c r="E59" s="83">
        <v>16900</v>
      </c>
      <c r="F59" s="147" t="inlineStr">
        <is>
          <t xml:space="preserve">HELADO X  KILO</t>
        </is>
      </c>
      <c r="G59" s="147" t="inlineStr">
        <is>
          <t xml:space="preserve">1 1 KILO</t>
        </is>
      </c>
      <c r="H59" s="293" t="inlineStr">
        <is>
          <t xml:space="preserve">Rechazada</t>
        </is>
      </c>
      <c r="I59" s="147" t="inlineStr">
        <is>
          <t xml:space="preserve"/>
        </is>
      </c>
    </row>
    <row r="60">
      <c r="A60" s="146" t="inlineStr">
        <is>
          <t xml:space="preserve">Fiorito</t>
        </is>
      </c>
      <c r="B60" s="150" t="inlineStr">
        <is>
          <t xml:space="preserve">Ailen</t>
        </is>
      </c>
      <c r="C60" s="121" t="inlineStr">
        <is>
          <t xml:space="preserve">21 h</t>
        </is>
      </c>
      <c r="D60" s="121" t="inlineStr">
        <is>
          <t xml:space="preserve">Salón</t>
        </is>
      </c>
      <c r="E60" s="83">
        <v>16900</v>
      </c>
      <c r="F60" s="147" t="inlineStr">
        <is>
          <t xml:space="preserve">HELADO X  KILO</t>
        </is>
      </c>
      <c r="G60" s="147" t="inlineStr">
        <is>
          <t xml:space="preserve">1 1 KILO</t>
        </is>
      </c>
      <c r="H60" s="293" t="inlineStr">
        <is>
          <t xml:space="preserve">Rechazada</t>
        </is>
      </c>
      <c r="I60" s="147" t="inlineStr">
        <is>
          <t xml:space="preserve"/>
        </is>
      </c>
    </row>
    <row r="61">
      <c r="A61" s="146" t="inlineStr">
        <is>
          <t xml:space="preserve">Fiorito</t>
        </is>
      </c>
      <c r="B61" s="150" t="inlineStr">
        <is>
          <t xml:space="preserve">Ailen</t>
        </is>
      </c>
      <c r="C61" s="121" t="inlineStr">
        <is>
          <t xml:space="preserve">21 h</t>
        </is>
      </c>
      <c r="D61" s="121" t="inlineStr">
        <is>
          <t xml:space="preserve">Salón</t>
        </is>
      </c>
      <c r="E61" s="83">
        <v>26300</v>
      </c>
      <c r="F61" s="147" t="inlineStr">
        <is>
          <t xml:space="preserve">HELADO X  KILO</t>
        </is>
      </c>
      <c r="G61" s="147" t="inlineStr">
        <is>
          <t xml:space="preserve">1 1 KILO + 4 PALITO BOMBON DDL X UN.</t>
        </is>
      </c>
      <c r="H61" s="227" t="inlineStr">
        <is>
          <t xml:space="preserve">Aceptada</t>
        </is>
      </c>
      <c r="I61" s="150" t="inlineStr">
        <is>
          <t xml:space="preserve">1 1/4  KILO</t>
        </is>
      </c>
    </row>
    <row r="62">
      <c r="A62" s="146" t="inlineStr">
        <is>
          <t xml:space="preserve">Fiorito</t>
        </is>
      </c>
      <c r="B62" s="150" t="inlineStr">
        <is>
          <t xml:space="preserve">Ailen</t>
        </is>
      </c>
      <c r="C62" s="121" t="inlineStr">
        <is>
          <t xml:space="preserve">21 h</t>
        </is>
      </c>
      <c r="D62" s="121" t="inlineStr">
        <is>
          <t xml:space="preserve">Salón</t>
        </is>
      </c>
      <c r="E62" s="83">
        <v>11200</v>
      </c>
      <c r="F62" s="147" t="inlineStr">
        <is>
          <t xml:space="preserve">HELADO X  KILO</t>
        </is>
      </c>
      <c r="G62" s="147" t="inlineStr">
        <is>
          <t xml:space="preserve">1 1/2  KILO + 1 CUPS BLACK X 3</t>
        </is>
      </c>
      <c r="H62" s="293" t="inlineStr">
        <is>
          <t xml:space="preserve">Rechazada</t>
        </is>
      </c>
      <c r="I62" s="147" t="inlineStr">
        <is>
          <t xml:space="preserve"/>
        </is>
      </c>
    </row>
    <row r="63">
      <c r="A63" s="146" t="inlineStr">
        <is>
          <t xml:space="preserve">Fiorito</t>
        </is>
      </c>
      <c r="B63" s="150" t="inlineStr">
        <is>
          <t xml:space="preserve">Ailen</t>
        </is>
      </c>
      <c r="C63" s="121" t="inlineStr">
        <is>
          <t xml:space="preserve">21 h</t>
        </is>
      </c>
      <c r="D63" s="121" t="inlineStr">
        <is>
          <t xml:space="preserve">Salón</t>
        </is>
      </c>
      <c r="E63" s="83">
        <v>3000</v>
      </c>
      <c r="F63" s="147" t="inlineStr">
        <is>
          <t xml:space="preserve">PALITOS</t>
        </is>
      </c>
      <c r="G63" s="147" t="inlineStr">
        <is>
          <t xml:space="preserve">1 PALITO BOMBON X UNIDAD + 1 PALITO BOMBON DDL X UN. + 1 PALITO FRUTAL NARANJA X UNIDAD</t>
        </is>
      </c>
      <c r="H63" s="293" t="inlineStr">
        <is>
          <t xml:space="preserve">Rechazada</t>
        </is>
      </c>
      <c r="I63" s="147" t="inlineStr">
        <is>
          <t xml:space="preserve"/>
        </is>
      </c>
    </row>
    <row r="64">
      <c r="A64" s="146" t="inlineStr">
        <is>
          <t xml:space="preserve">Fiorito</t>
        </is>
      </c>
      <c r="B64" s="150" t="inlineStr">
        <is>
          <t xml:space="preserve">Ailen</t>
        </is>
      </c>
      <c r="C64" s="121" t="inlineStr">
        <is>
          <t xml:space="preserve">21 h</t>
        </is>
      </c>
      <c r="D64" s="121" t="inlineStr">
        <is>
          <t xml:space="preserve">Salón</t>
        </is>
      </c>
      <c r="E64" s="83">
        <v>10500</v>
      </c>
      <c r="F64" s="147" t="inlineStr">
        <is>
          <t xml:space="preserve">PALITOS</t>
        </is>
      </c>
      <c r="G64" s="147" t="inlineStr">
        <is>
          <t xml:space="preserve">1 P.FRUT.FRUTILLA EN CAJA X 20</t>
        </is>
      </c>
      <c r="H64" s="293" t="inlineStr">
        <is>
          <t xml:space="preserve">Rechazada</t>
        </is>
      </c>
      <c r="I64" s="147" t="inlineStr">
        <is>
          <t xml:space="preserve"/>
        </is>
      </c>
    </row>
    <row r="65">
      <c r="A65" s="146" t="inlineStr">
        <is>
          <t xml:space="preserve">Fiorito</t>
        </is>
      </c>
      <c r="B65" s="150" t="inlineStr">
        <is>
          <t xml:space="preserve">Ailen</t>
        </is>
      </c>
      <c r="C65" s="121" t="inlineStr">
        <is>
          <t xml:space="preserve">21 h</t>
        </is>
      </c>
      <c r="D65" s="121" t="inlineStr">
        <is>
          <t xml:space="preserve">Salón</t>
        </is>
      </c>
      <c r="E65" s="83">
        <v>14300</v>
      </c>
      <c r="F65" s="147" t="inlineStr">
        <is>
          <t xml:space="preserve">POSTRES</t>
        </is>
      </c>
      <c r="G65" s="147" t="inlineStr">
        <is>
          <t xml:space="preserve">1 BOMBON ESCOCES EN CAJA X 8</t>
        </is>
      </c>
      <c r="H65" s="293" t="inlineStr">
        <is>
          <t xml:space="preserve">Rechazada</t>
        </is>
      </c>
      <c r="I65" s="147" t="inlineStr">
        <is>
          <t xml:space="preserve"/>
        </is>
      </c>
    </row>
    <row r="66">
      <c r="A66" s="146" t="inlineStr">
        <is>
          <t xml:space="preserve">Fiorito</t>
        </is>
      </c>
      <c r="B66" s="150" t="inlineStr">
        <is>
          <t xml:space="preserve">Ailen</t>
        </is>
      </c>
      <c r="C66" s="121" t="inlineStr">
        <is>
          <t xml:space="preserve">21 h</t>
        </is>
      </c>
      <c r="D66" s="121" t="inlineStr">
        <is>
          <t xml:space="preserve">Salón</t>
        </is>
      </c>
      <c r="E66" s="83">
        <v>12800</v>
      </c>
      <c r="F66" s="147" t="inlineStr">
        <is>
          <t xml:space="preserve">HELADO X BOCHA</t>
        </is>
      </c>
      <c r="G66" s="147" t="inlineStr">
        <is>
          <t xml:space="preserve">2 GIGANTE 2 BOCHAS + 1 PALITO CREMOSO FRUTILLA X10 U.</t>
        </is>
      </c>
      <c r="H66" s="293" t="inlineStr">
        <is>
          <t xml:space="preserve">Rechazada</t>
        </is>
      </c>
      <c r="I66" s="147" t="inlineStr">
        <is>
          <t xml:space="preserve"/>
        </is>
      </c>
    </row>
    <row r="67">
      <c r="A67" s="146" t="inlineStr">
        <is>
          <t xml:space="preserve">Fiorito</t>
        </is>
      </c>
      <c r="B67" s="150" t="inlineStr">
        <is>
          <t xml:space="preserve">Ailen</t>
        </is>
      </c>
      <c r="C67" s="121" t="inlineStr">
        <is>
          <t xml:space="preserve">21 h</t>
        </is>
      </c>
      <c r="D67" s="121" t="inlineStr">
        <is>
          <t xml:space="preserve">Salón</t>
        </is>
      </c>
      <c r="E67" s="83">
        <v>12800</v>
      </c>
      <c r="F67" s="147" t="inlineStr">
        <is>
          <t xml:space="preserve">HELADO X  KILO</t>
        </is>
      </c>
      <c r="G67" s="147" t="inlineStr">
        <is>
          <t xml:space="preserve">2 1/4  KILO</t>
        </is>
      </c>
      <c r="H67" s="293" t="inlineStr">
        <is>
          <t xml:space="preserve">Rechazada</t>
        </is>
      </c>
      <c r="I67" s="147" t="inlineStr">
        <is>
          <t xml:space="preserve"/>
        </is>
      </c>
    </row>
    <row r="68">
      <c r="A68" s="146" t="inlineStr">
        <is>
          <t xml:space="preserve">Fiorito</t>
        </is>
      </c>
      <c r="B68" s="150" t="inlineStr">
        <is>
          <t xml:space="preserve">Ailen</t>
        </is>
      </c>
      <c r="C68" s="121" t="inlineStr">
        <is>
          <t xml:space="preserve">21 h</t>
        </is>
      </c>
      <c r="D68" s="121" t="inlineStr">
        <is>
          <t xml:space="preserve">Salón</t>
        </is>
      </c>
      <c r="E68" s="83">
        <v>10600</v>
      </c>
      <c r="F68" s="147" t="inlineStr">
        <is>
          <t xml:space="preserve">PALITOS</t>
        </is>
      </c>
      <c r="G68" s="147" t="inlineStr">
        <is>
          <t xml:space="preserve">2 PALITO FRUTAL NARANJA X10 U.</t>
        </is>
      </c>
      <c r="H68" s="293" t="inlineStr">
        <is>
          <t xml:space="preserve">Rechazada</t>
        </is>
      </c>
      <c r="I68" s="147" t="inlineStr">
        <is>
          <t xml:space="preserve"/>
        </is>
      </c>
    </row>
    <row r="69">
      <c r="A69" s="146" t="inlineStr">
        <is>
          <t xml:space="preserve">Fiorito</t>
        </is>
      </c>
      <c r="B69" s="150" t="inlineStr">
        <is>
          <t xml:space="preserve">Ailen</t>
        </is>
      </c>
      <c r="C69" s="121" t="inlineStr">
        <is>
          <t xml:space="preserve">21 h</t>
        </is>
      </c>
      <c r="D69" s="121" t="inlineStr">
        <is>
          <t xml:space="preserve">Salón</t>
        </is>
      </c>
      <c r="E69" s="83">
        <v>14600</v>
      </c>
      <c r="F69" s="147" t="inlineStr">
        <is>
          <t xml:space="preserve">PALITOS</t>
        </is>
      </c>
      <c r="G69" s="147" t="inlineStr">
        <is>
          <t xml:space="preserve">1 PALITO BOMBÓN DDL X 10 + 1 PALITO BOMBÓN X10 UN.</t>
        </is>
      </c>
      <c r="H69" s="293" t="inlineStr">
        <is>
          <t xml:space="preserve">Rechazada</t>
        </is>
      </c>
      <c r="I69" s="147" t="inlineStr">
        <is>
          <t xml:space="preserve"/>
        </is>
      </c>
    </row>
    <row r="70">
      <c r="A70" s="146" t="inlineStr">
        <is>
          <t xml:space="preserve">Fiorito</t>
        </is>
      </c>
      <c r="B70" s="150" t="inlineStr">
        <is>
          <t xml:space="preserve">Ailen</t>
        </is>
      </c>
      <c r="C70" s="121" t="inlineStr">
        <is>
          <t xml:space="preserve">22 h</t>
        </is>
      </c>
      <c r="D70" s="121" t="inlineStr">
        <is>
          <t xml:space="preserve">Salón</t>
        </is>
      </c>
      <c r="E70" s="83">
        <v>10000</v>
      </c>
      <c r="F70" s="147" t="inlineStr">
        <is>
          <t xml:space="preserve">HELADO X  KILO</t>
        </is>
      </c>
      <c r="G70" s="147" t="inlineStr">
        <is>
          <t xml:space="preserve">1 1/2  KILO</t>
        </is>
      </c>
      <c r="H70" s="293" t="inlineStr">
        <is>
          <t xml:space="preserve">Rechazada</t>
        </is>
      </c>
      <c r="I70" s="147" t="inlineStr">
        <is>
          <t xml:space="preserve"/>
        </is>
      </c>
    </row>
    <row r="71">
      <c r="A71" s="146" t="inlineStr">
        <is>
          <t xml:space="preserve">Fiorito</t>
        </is>
      </c>
      <c r="B71" s="150" t="inlineStr">
        <is>
          <t xml:space="preserve">Ailen</t>
        </is>
      </c>
      <c r="C71" s="121" t="inlineStr">
        <is>
          <t xml:space="preserve">22 h</t>
        </is>
      </c>
      <c r="D71" s="121" t="inlineStr">
        <is>
          <t xml:space="preserve">Salón</t>
        </is>
      </c>
      <c r="E71" s="83">
        <v>21200</v>
      </c>
      <c r="F71" s="147" t="inlineStr">
        <is>
          <t xml:space="preserve">CONGELADOS</t>
        </is>
      </c>
      <c r="G71" s="147" t="inlineStr">
        <is>
          <t xml:space="preserve">2 FRAMBUESAS DOBLE CHOCOLATE - GRIDO + 1 1/2  KILO</t>
        </is>
      </c>
      <c r="H71" s="293" t="inlineStr">
        <is>
          <t xml:space="preserve">Rechazada</t>
        </is>
      </c>
      <c r="I71" s="147" t="inlineStr">
        <is>
          <t xml:space="preserve"/>
        </is>
      </c>
    </row>
    <row r="72">
      <c r="A72" s="146" t="inlineStr">
        <is>
          <t xml:space="preserve">Fiorito</t>
        </is>
      </c>
      <c r="B72" s="150" t="inlineStr">
        <is>
          <t xml:space="preserve">Ailen</t>
        </is>
      </c>
      <c r="C72" s="121" t="inlineStr">
        <is>
          <t xml:space="preserve">22 h</t>
        </is>
      </c>
      <c r="D72" s="121" t="inlineStr">
        <is>
          <t xml:space="preserve">Salón</t>
        </is>
      </c>
      <c r="E72" s="83">
        <v>3500</v>
      </c>
      <c r="F72" s="147" t="inlineStr">
        <is>
          <t xml:space="preserve">HELADO X BOCHA</t>
        </is>
      </c>
      <c r="G72" s="147" t="inlineStr">
        <is>
          <t xml:space="preserve">1 GIGANTE 2 BOCHAS</t>
        </is>
      </c>
      <c r="H72" s="293" t="inlineStr">
        <is>
          <t xml:space="preserve">Rechazada</t>
        </is>
      </c>
      <c r="I72" s="147" t="inlineStr">
        <is>
          <t xml:space="preserve"/>
        </is>
      </c>
    </row>
    <row r="73">
      <c r="A73" s="146" t="inlineStr">
        <is>
          <t xml:space="preserve">Fiorito</t>
        </is>
      </c>
      <c r="B73" s="150" t="inlineStr">
        <is>
          <t xml:space="preserve">Ailen</t>
        </is>
      </c>
      <c r="C73" s="121" t="inlineStr">
        <is>
          <t xml:space="preserve">22 h</t>
        </is>
      </c>
      <c r="D73" s="121" t="inlineStr">
        <is>
          <t xml:space="preserve">Salón</t>
        </is>
      </c>
      <c r="E73" s="83">
        <v>10000</v>
      </c>
      <c r="F73" s="147" t="inlineStr">
        <is>
          <t xml:space="preserve">HELADO X  KILO</t>
        </is>
      </c>
      <c r="G73" s="147" t="inlineStr">
        <is>
          <t xml:space="preserve">1 1/2  KILO</t>
        </is>
      </c>
      <c r="H73" s="293" t="inlineStr">
        <is>
          <t xml:space="preserve">Rechazada</t>
        </is>
      </c>
      <c r="I73" s="147" t="inlineStr">
        <is>
          <t xml:space="preserve"/>
        </is>
      </c>
    </row>
    <row r="74">
      <c r="A74" s="146" t="inlineStr">
        <is>
          <t xml:space="preserve">Fiorito</t>
        </is>
      </c>
      <c r="B74" s="150" t="inlineStr">
        <is>
          <t xml:space="preserve">Ailen</t>
        </is>
      </c>
      <c r="C74" s="121" t="inlineStr">
        <is>
          <t xml:space="preserve">22 h</t>
        </is>
      </c>
      <c r="D74" s="121" t="inlineStr">
        <is>
          <t xml:space="preserve">Salón</t>
        </is>
      </c>
      <c r="E74" s="83">
        <v>16900</v>
      </c>
      <c r="F74" s="147" t="inlineStr">
        <is>
          <t xml:space="preserve">HELADO X  KILO</t>
        </is>
      </c>
      <c r="G74" s="147" t="inlineStr">
        <is>
          <t xml:space="preserve">1 1 KILO</t>
        </is>
      </c>
      <c r="H74" s="293" t="inlineStr">
        <is>
          <t xml:space="preserve">Rechazada</t>
        </is>
      </c>
      <c r="I74" s="147" t="inlineStr">
        <is>
          <t xml:space="preserve"/>
        </is>
      </c>
    </row>
    <row r="75">
      <c r="A75" s="146" t="inlineStr">
        <is>
          <t xml:space="preserve">Fiorito</t>
        </is>
      </c>
      <c r="B75" s="150" t="inlineStr">
        <is>
          <t xml:space="preserve">Ailen</t>
        </is>
      </c>
      <c r="C75" s="121" t="inlineStr">
        <is>
          <t xml:space="preserve">22 h</t>
        </is>
      </c>
      <c r="D75" s="121" t="inlineStr">
        <is>
          <t xml:space="preserve">Salón</t>
        </is>
      </c>
      <c r="E75" s="83">
        <v>17600</v>
      </c>
      <c r="F75" s="147" t="inlineStr">
        <is>
          <t xml:space="preserve">FAMILIAR</t>
        </is>
      </c>
      <c r="G75" s="147" t="inlineStr">
        <is>
          <t xml:space="preserve">1 FAMNº3 (VAINILLA/FRUTILLA/GRANIZADO)</t>
        </is>
      </c>
      <c r="H75" s="293" t="inlineStr">
        <is>
          <t xml:space="preserve">Rechazada</t>
        </is>
      </c>
      <c r="I75" s="147" t="inlineStr">
        <is>
          <t xml:space="preserve"/>
        </is>
      </c>
    </row>
    <row r="76">
      <c r="A76" s="146" t="inlineStr">
        <is>
          <t xml:space="preserve">Fiorito</t>
        </is>
      </c>
      <c r="B76" s="150" t="inlineStr">
        <is>
          <t xml:space="preserve">Ailen</t>
        </is>
      </c>
      <c r="C76" s="121" t="inlineStr">
        <is>
          <t xml:space="preserve">22 h</t>
        </is>
      </c>
      <c r="D76" s="121" t="inlineStr">
        <is>
          <t xml:space="preserve">Salón</t>
        </is>
      </c>
      <c r="E76" s="83">
        <v>25000</v>
      </c>
      <c r="F76" s="147" t="inlineStr">
        <is>
          <t xml:space="preserve">HELADO X  KILO</t>
        </is>
      </c>
      <c r="G76" s="147" t="inlineStr">
        <is>
          <t xml:space="preserve">2 1/4  KILO + 1 1/2  KILO + 2 PALITO BOMBON X UNIDAD</t>
        </is>
      </c>
      <c r="H76" s="293" t="inlineStr">
        <is>
          <t xml:space="preserve">Rechazada</t>
        </is>
      </c>
      <c r="I76" s="147" t="inlineStr">
        <is>
          <t xml:space="preserve"/>
        </is>
      </c>
    </row>
    <row r="77">
      <c r="A77" s="146" t="inlineStr">
        <is>
          <t xml:space="preserve">Fiorito</t>
        </is>
      </c>
      <c r="B77" s="150" t="inlineStr">
        <is>
          <t xml:space="preserve">Ailen</t>
        </is>
      </c>
      <c r="C77" s="121" t="inlineStr">
        <is>
          <t xml:space="preserve">22 h</t>
        </is>
      </c>
      <c r="D77" s="121" t="inlineStr">
        <is>
          <t xml:space="preserve">Salón</t>
        </is>
      </c>
      <c r="E77" s="83">
        <v>14400</v>
      </c>
      <c r="F77" s="147" t="inlineStr">
        <is>
          <t xml:space="preserve">TENTACION</t>
        </is>
      </c>
      <c r="G77" s="147" t="inlineStr">
        <is>
          <t xml:space="preserve">1 TODDY GALLETITAS + 1 FRAMBUESAS DOBLE CHOCOLATE - GRIDO</t>
        </is>
      </c>
      <c r="H77" s="293" t="inlineStr">
        <is>
          <t xml:space="preserve">Rechazada</t>
        </is>
      </c>
      <c r="I77" s="147" t="inlineStr">
        <is>
          <t xml:space="preserve"/>
        </is>
      </c>
    </row>
    <row r="78">
      <c r="A78" s="146" t="inlineStr">
        <is>
          <t xml:space="preserve">Fiorito</t>
        </is>
      </c>
      <c r="B78" s="150" t="inlineStr">
        <is>
          <t xml:space="preserve">Ailen</t>
        </is>
      </c>
      <c r="C78" s="121" t="inlineStr">
        <is>
          <t xml:space="preserve">22 h</t>
        </is>
      </c>
      <c r="D78" s="121" t="inlineStr">
        <is>
          <t xml:space="preserve">Salón</t>
        </is>
      </c>
      <c r="E78" s="83">
        <v>6400</v>
      </c>
      <c r="F78" s="147" t="inlineStr">
        <is>
          <t xml:space="preserve">HELADO X  KILO</t>
        </is>
      </c>
      <c r="G78" s="147" t="inlineStr">
        <is>
          <t xml:space="preserve">1 1/4  KILO</t>
        </is>
      </c>
      <c r="H78" s="293" t="inlineStr">
        <is>
          <t xml:space="preserve">Rechazada</t>
        </is>
      </c>
      <c r="I78" s="147" t="inlineStr">
        <is>
          <t xml:space="preserve"/>
        </is>
      </c>
    </row>
    <row r="79">
      <c r="A79" s="146" t="inlineStr">
        <is>
          <t xml:space="preserve">Fiorito</t>
        </is>
      </c>
      <c r="B79" s="150" t="inlineStr">
        <is>
          <t xml:space="preserve">Ailen</t>
        </is>
      </c>
      <c r="C79" s="121" t="inlineStr">
        <is>
          <t xml:space="preserve">22 h</t>
        </is>
      </c>
      <c r="D79" s="121" t="inlineStr">
        <is>
          <t xml:space="preserve">Salón</t>
        </is>
      </c>
      <c r="E79" s="83">
        <v>33800</v>
      </c>
      <c r="F79" s="147" t="inlineStr">
        <is>
          <t xml:space="preserve">HELADO X  KILO</t>
        </is>
      </c>
      <c r="G79" s="147" t="inlineStr">
        <is>
          <t xml:space="preserve">2 1 KILO</t>
        </is>
      </c>
      <c r="H79" s="293" t="inlineStr">
        <is>
          <t xml:space="preserve">Rechazada</t>
        </is>
      </c>
      <c r="I79" s="147" t="inlineStr">
        <is>
          <t xml:space="preserve"/>
        </is>
      </c>
    </row>
    <row r="80">
      <c r="A80" s="146" t="inlineStr">
        <is>
          <t xml:space="preserve">Fiorito</t>
        </is>
      </c>
      <c r="B80" s="150" t="inlineStr">
        <is>
          <t xml:space="preserve">Candela</t>
        </is>
      </c>
      <c r="C80" s="121" t="inlineStr">
        <is>
          <t xml:space="preserve">10 h</t>
        </is>
      </c>
      <c r="D80" s="121" t="inlineStr">
        <is>
          <t xml:space="preserve">Salón</t>
        </is>
      </c>
      <c r="E80" s="83">
        <v>14300</v>
      </c>
      <c r="F80" s="147" t="inlineStr">
        <is>
          <t xml:space="preserve">POSTRES</t>
        </is>
      </c>
      <c r="G80" s="147" t="inlineStr">
        <is>
          <t xml:space="preserve">1 BOMBON ESCOCES EN CAJA X 8</t>
        </is>
      </c>
      <c r="H80" s="293" t="inlineStr">
        <is>
          <t xml:space="preserve">Rechazada</t>
        </is>
      </c>
      <c r="I80" s="147" t="inlineStr">
        <is>
          <t xml:space="preserve"/>
        </is>
      </c>
    </row>
    <row r="81">
      <c r="A81" s="146" t="inlineStr">
        <is>
          <t xml:space="preserve">Fiorito</t>
        </is>
      </c>
      <c r="B81" s="150" t="inlineStr">
        <is>
          <t xml:space="preserve">Candela</t>
        </is>
      </c>
      <c r="C81" s="121" t="inlineStr">
        <is>
          <t xml:space="preserve">10 h</t>
        </is>
      </c>
      <c r="D81" s="121" t="inlineStr">
        <is>
          <t xml:space="preserve">Salón</t>
        </is>
      </c>
      <c r="E81" s="83">
        <v>6600</v>
      </c>
      <c r="F81" s="147" t="inlineStr">
        <is>
          <t xml:space="preserve">CAFETERIA</t>
        </is>
      </c>
      <c r="G81" s="147" t="inlineStr">
        <is>
          <t xml:space="preserve">2 CAFE CAPUCCINO</t>
        </is>
      </c>
      <c r="H81" s="293" t="inlineStr">
        <is>
          <t xml:space="preserve">Rechazada</t>
        </is>
      </c>
      <c r="I81" s="147" t="inlineStr">
        <is>
          <t xml:space="preserve"/>
        </is>
      </c>
    </row>
    <row r="82">
      <c r="A82" s="146" t="inlineStr">
        <is>
          <t xml:space="preserve">Fiorito</t>
        </is>
      </c>
      <c r="B82" s="150" t="inlineStr">
        <is>
          <t xml:space="preserve">Candela</t>
        </is>
      </c>
      <c r="C82" s="121" t="inlineStr">
        <is>
          <t xml:space="preserve">10 h</t>
        </is>
      </c>
      <c r="D82" s="121" t="inlineStr">
        <is>
          <t xml:space="preserve">Salón</t>
        </is>
      </c>
      <c r="E82" s="83">
        <v>1200</v>
      </c>
      <c r="F82" s="147" t="inlineStr">
        <is>
          <t xml:space="preserve">CAFETERIA</t>
        </is>
      </c>
      <c r="G82" s="147" t="inlineStr">
        <is>
          <t xml:space="preserve">1 CHOCOLATADA GRANDE</t>
        </is>
      </c>
      <c r="H82" s="294" t="inlineStr">
        <is>
          <t xml:space="preserve">No ofrecida</t>
        </is>
      </c>
      <c r="I82" s="147" t="inlineStr">
        <is>
          <t xml:space="preserve"/>
        </is>
      </c>
    </row>
    <row r="83">
      <c r="A83" s="146" t="inlineStr">
        <is>
          <t xml:space="preserve">Fiorito</t>
        </is>
      </c>
      <c r="B83" s="150" t="inlineStr">
        <is>
          <t xml:space="preserve">Candela</t>
        </is>
      </c>
      <c r="C83" s="121" t="inlineStr">
        <is>
          <t xml:space="preserve">10 h</t>
        </is>
      </c>
      <c r="D83" s="121" t="inlineStr">
        <is>
          <t xml:space="preserve">Salón</t>
        </is>
      </c>
      <c r="E83" s="83">
        <v>3300</v>
      </c>
      <c r="F83" s="147" t="inlineStr">
        <is>
          <t xml:space="preserve">CAFETERIA</t>
        </is>
      </c>
      <c r="G83" s="147" t="inlineStr">
        <is>
          <t xml:space="preserve">1 CAFÉ ESPRESSO DOBLE GRANDE</t>
        </is>
      </c>
      <c r="H83" s="293" t="inlineStr">
        <is>
          <t xml:space="preserve">Rechazada</t>
        </is>
      </c>
      <c r="I83" s="147" t="inlineStr">
        <is>
          <t xml:space="preserve"/>
        </is>
      </c>
    </row>
    <row r="84">
      <c r="A84" s="146" t="inlineStr">
        <is>
          <t xml:space="preserve">Fiorito</t>
        </is>
      </c>
      <c r="B84" s="150" t="inlineStr">
        <is>
          <t xml:space="preserve">Candela</t>
        </is>
      </c>
      <c r="C84" s="121" t="inlineStr">
        <is>
          <t xml:space="preserve">10 h</t>
        </is>
      </c>
      <c r="D84" s="121" t="inlineStr">
        <is>
          <t xml:space="preserve">Salón</t>
        </is>
      </c>
      <c r="E84" s="83">
        <v>6400</v>
      </c>
      <c r="F84" s="147" t="inlineStr">
        <is>
          <t xml:space="preserve">GRIDOS</t>
        </is>
      </c>
      <c r="G84" s="147" t="inlineStr">
        <is>
          <t xml:space="preserve">1 CAPUCCINO GRIDO</t>
        </is>
      </c>
      <c r="H84" s="227" t="inlineStr">
        <is>
          <t xml:space="preserve">Aceptada</t>
        </is>
      </c>
      <c r="I84" s="150" t="inlineStr">
        <is>
          <t xml:space="preserve">1 BOMBON FRUTEZZA XU.</t>
        </is>
      </c>
    </row>
    <row r="85">
      <c r="A85" s="146" t="inlineStr">
        <is>
          <t xml:space="preserve">Fiorito</t>
        </is>
      </c>
      <c r="B85" s="150" t="inlineStr">
        <is>
          <t xml:space="preserve">Candela</t>
        </is>
      </c>
      <c r="C85" s="121" t="inlineStr">
        <is>
          <t xml:space="preserve">10 h</t>
        </is>
      </c>
      <c r="D85" s="121" t="inlineStr">
        <is>
          <t xml:space="preserve">Salón</t>
        </is>
      </c>
      <c r="E85" s="83">
        <v>3500</v>
      </c>
      <c r="F85" s="147" t="inlineStr">
        <is>
          <t xml:space="preserve">HELADO X BOCHA</t>
        </is>
      </c>
      <c r="G85" s="147" t="inlineStr">
        <is>
          <t xml:space="preserve">1 GIGANTE 2 BOCHAS</t>
        </is>
      </c>
      <c r="H85" s="293" t="inlineStr">
        <is>
          <t xml:space="preserve">Rechazada</t>
        </is>
      </c>
      <c r="I85" s="147" t="inlineStr">
        <is>
          <t xml:space="preserve"/>
        </is>
      </c>
    </row>
    <row r="86">
      <c r="A86" s="146" t="inlineStr">
        <is>
          <t xml:space="preserve">Fiorito</t>
        </is>
      </c>
      <c r="B86" s="150" t="inlineStr">
        <is>
          <t xml:space="preserve">Candela</t>
        </is>
      </c>
      <c r="C86" s="121" t="inlineStr">
        <is>
          <t xml:space="preserve">11 h</t>
        </is>
      </c>
      <c r="D86" s="121" t="inlineStr">
        <is>
          <t xml:space="preserve">Salón</t>
        </is>
      </c>
      <c r="E86" s="83">
        <v>2200</v>
      </c>
      <c r="F86" s="147" t="inlineStr">
        <is>
          <t xml:space="preserve">CAFETERIA</t>
        </is>
      </c>
      <c r="G86" s="147" t="inlineStr">
        <is>
          <t xml:space="preserve">1 CHOCOLATADA GRANDE + 1 MEDIALUNA EXTRA DULCE PRECOCIDA</t>
        </is>
      </c>
      <c r="H86" s="294" t="inlineStr">
        <is>
          <t xml:space="preserve">No ofrecida</t>
        </is>
      </c>
      <c r="I86" s="147" t="inlineStr">
        <is>
          <t xml:space="preserve"/>
        </is>
      </c>
    </row>
    <row r="87">
      <c r="A87" s="146" t="inlineStr">
        <is>
          <t xml:space="preserve">Fiorito</t>
        </is>
      </c>
      <c r="B87" s="150" t="inlineStr">
        <is>
          <t xml:space="preserve">Candela</t>
        </is>
      </c>
      <c r="C87" s="121" t="inlineStr">
        <is>
          <t xml:space="preserve">11 h</t>
        </is>
      </c>
      <c r="D87" s="121" t="inlineStr">
        <is>
          <t xml:space="preserve">Salón</t>
        </is>
      </c>
      <c r="E87" s="83">
        <v>4700</v>
      </c>
      <c r="F87" s="147" t="inlineStr">
        <is>
          <t xml:space="preserve">LINEAS ESPECIALES</t>
        </is>
      </c>
      <c r="G87" s="147" t="inlineStr">
        <is>
          <t xml:space="preserve">1 HEL. "DUL. EQUI. CHOCO" 80 GR XU. + 1 PALITO FRUTAL NARANJA X UNIDAD + 1 PALITO FRUTAL FRUTILLA X UNIDAD</t>
        </is>
      </c>
      <c r="H87" s="293" t="inlineStr">
        <is>
          <t xml:space="preserve">Rechazada</t>
        </is>
      </c>
      <c r="I87" s="147" t="inlineStr">
        <is>
          <t xml:space="preserve"/>
        </is>
      </c>
    </row>
    <row r="88">
      <c r="A88" s="146" t="inlineStr">
        <is>
          <t xml:space="preserve">Fiorito</t>
        </is>
      </c>
      <c r="B88" s="150" t="inlineStr">
        <is>
          <t xml:space="preserve">Candela</t>
        </is>
      </c>
      <c r="C88" s="121" t="inlineStr">
        <is>
          <t xml:space="preserve">11 h</t>
        </is>
      </c>
      <c r="D88" s="121" t="inlineStr">
        <is>
          <t xml:space="preserve">Salón</t>
        </is>
      </c>
      <c r="E88" s="83">
        <v>8600</v>
      </c>
      <c r="F88" s="147" t="inlineStr">
        <is>
          <t xml:space="preserve">GRIDOS</t>
        </is>
      </c>
      <c r="G88" s="147" t="inlineStr">
        <is>
          <t xml:space="preserve">2 GRIDO BATIDO</t>
        </is>
      </c>
      <c r="H88" s="293" t="inlineStr">
        <is>
          <t xml:space="preserve">Rechazada</t>
        </is>
      </c>
      <c r="I88" s="147" t="inlineStr">
        <is>
          <t xml:space="preserve"/>
        </is>
      </c>
    </row>
    <row r="89">
      <c r="A89" s="146" t="inlineStr">
        <is>
          <t xml:space="preserve">Fiorito</t>
        </is>
      </c>
      <c r="B89" s="150" t="inlineStr">
        <is>
          <t xml:space="preserve">Candela</t>
        </is>
      </c>
      <c r="C89" s="121" t="inlineStr">
        <is>
          <t xml:space="preserve">11 h</t>
        </is>
      </c>
      <c r="D89" s="121" t="inlineStr">
        <is>
          <t xml:space="preserve">Salón</t>
        </is>
      </c>
      <c r="E89" s="83">
        <v>21900</v>
      </c>
      <c r="F89" s="147" t="inlineStr">
        <is>
          <t xml:space="preserve">HELADO X  KILO</t>
        </is>
      </c>
      <c r="G89" s="147" t="inlineStr">
        <is>
          <t xml:space="preserve">1 1 KILO</t>
        </is>
      </c>
      <c r="H89" s="227" t="inlineStr">
        <is>
          <t xml:space="preserve">Aceptada</t>
        </is>
      </c>
      <c r="I89" s="150" t="inlineStr">
        <is>
          <t xml:space="preserve">1 1/4  KILO</t>
        </is>
      </c>
    </row>
    <row r="90">
      <c r="A90" s="146" t="inlineStr">
        <is>
          <t xml:space="preserve">Fiorito</t>
        </is>
      </c>
      <c r="B90" s="150" t="inlineStr">
        <is>
          <t xml:space="preserve">Candela</t>
        </is>
      </c>
      <c r="C90" s="121" t="inlineStr">
        <is>
          <t xml:space="preserve">11 h</t>
        </is>
      </c>
      <c r="D90" s="121" t="inlineStr">
        <is>
          <t xml:space="preserve">Salón</t>
        </is>
      </c>
      <c r="E90" s="83">
        <v>1200</v>
      </c>
      <c r="F90" s="147" t="inlineStr">
        <is>
          <t xml:space="preserve">CUCURUCH.</t>
        </is>
      </c>
      <c r="G90" s="147" t="inlineStr">
        <is>
          <t xml:space="preserve">1 CUPS BLACK X 3</t>
        </is>
      </c>
      <c r="H90" s="294" t="inlineStr">
        <is>
          <t xml:space="preserve">No ofrecida</t>
        </is>
      </c>
      <c r="I90" s="147" t="inlineStr">
        <is>
          <t xml:space="preserve"/>
        </is>
      </c>
    </row>
    <row r="91">
      <c r="A91" s="146" t="inlineStr">
        <is>
          <t xml:space="preserve">Fiorito</t>
        </is>
      </c>
      <c r="B91" s="150" t="inlineStr">
        <is>
          <t xml:space="preserve">Candela</t>
        </is>
      </c>
      <c r="C91" s="121" t="inlineStr">
        <is>
          <t xml:space="preserve">11 h</t>
        </is>
      </c>
      <c r="D91" s="121" t="inlineStr">
        <is>
          <t xml:space="preserve">Salón</t>
        </is>
      </c>
      <c r="E91" s="83">
        <v>26400</v>
      </c>
      <c r="F91" s="147" t="inlineStr">
        <is>
          <t xml:space="preserve">POSTRES</t>
        </is>
      </c>
      <c r="G91" s="147" t="inlineStr">
        <is>
          <t xml:space="preserve">1 ALMENDRADO EN CAJA X 8 + 1 CASATTA EN CAJA X 8</t>
        </is>
      </c>
      <c r="H91" s="227" t="inlineStr">
        <is>
          <t xml:space="preserve">Aceptada</t>
        </is>
      </c>
      <c r="I91" s="150" t="inlineStr">
        <is>
          <t xml:space="preserve">1 1/4  KILO</t>
        </is>
      </c>
    </row>
    <row r="92">
      <c r="A92" s="146" t="inlineStr">
        <is>
          <t xml:space="preserve">Fiorito</t>
        </is>
      </c>
      <c r="B92" s="150" t="inlineStr">
        <is>
          <t xml:space="preserve">Candela</t>
        </is>
      </c>
      <c r="C92" s="121" t="inlineStr">
        <is>
          <t xml:space="preserve">12 h</t>
        </is>
      </c>
      <c r="D92" s="121" t="inlineStr">
        <is>
          <t xml:space="preserve">Salón</t>
        </is>
      </c>
      <c r="E92" s="83">
        <v>17600</v>
      </c>
      <c r="F92" s="147" t="inlineStr">
        <is>
          <t xml:space="preserve">FAMILIAR</t>
        </is>
      </c>
      <c r="G92" s="147" t="inlineStr">
        <is>
          <t xml:space="preserve">1 FAMNº3 (VAINILLA/FRUTILLA/GRANIZADO)</t>
        </is>
      </c>
      <c r="H92" s="293" t="inlineStr">
        <is>
          <t xml:space="preserve">Rechazada</t>
        </is>
      </c>
      <c r="I92" s="147" t="inlineStr">
        <is>
          <t xml:space="preserve"/>
        </is>
      </c>
    </row>
    <row r="93">
      <c r="A93" s="146" t="inlineStr">
        <is>
          <t xml:space="preserve">Fiorito</t>
        </is>
      </c>
      <c r="B93" s="150" t="inlineStr">
        <is>
          <t xml:space="preserve">Candela</t>
        </is>
      </c>
      <c r="C93" s="121" t="inlineStr">
        <is>
          <t xml:space="preserve">12 h</t>
        </is>
      </c>
      <c r="D93" s="121" t="inlineStr">
        <is>
          <t xml:space="preserve">Salón</t>
        </is>
      </c>
      <c r="E93" s="83">
        <v>31000</v>
      </c>
      <c r="F93" s="147" t="inlineStr">
        <is>
          <t xml:space="preserve">POSTRES</t>
        </is>
      </c>
      <c r="G93" s="147" t="inlineStr">
        <is>
          <t xml:space="preserve">2 BOMBON ESCOCES EN CAJA X 8 + 1 BOMBÓN CHOCO AVELLANAS X UN</t>
        </is>
      </c>
      <c r="H93" s="293" t="inlineStr">
        <is>
          <t xml:space="preserve">Rechazada</t>
        </is>
      </c>
      <c r="I93" s="147" t="inlineStr">
        <is>
          <t xml:space="preserve"/>
        </is>
      </c>
    </row>
    <row r="94">
      <c r="A94" s="146" t="inlineStr">
        <is>
          <t xml:space="preserve">Fiorito</t>
        </is>
      </c>
      <c r="B94" s="150" t="inlineStr">
        <is>
          <t xml:space="preserve">Candela</t>
        </is>
      </c>
      <c r="C94" s="121" t="inlineStr">
        <is>
          <t xml:space="preserve">12 h</t>
        </is>
      </c>
      <c r="D94" s="121" t="inlineStr">
        <is>
          <t xml:space="preserve">Salón</t>
        </is>
      </c>
      <c r="E94" s="83">
        <v>35000</v>
      </c>
      <c r="F94" s="147" t="inlineStr">
        <is>
          <t xml:space="preserve">TORTAS</t>
        </is>
      </c>
      <c r="G94" s="147" t="inlineStr">
        <is>
          <t xml:space="preserve">1 TORTA COOKIES AND CREAM + 1 TORTA GRIDO RELLENA</t>
        </is>
      </c>
      <c r="H94" s="293" t="inlineStr">
        <is>
          <t xml:space="preserve">Rechazada</t>
        </is>
      </c>
      <c r="I94" s="147" t="inlineStr">
        <is>
          <t xml:space="preserve"/>
        </is>
      </c>
    </row>
    <row r="95">
      <c r="A95" s="146" t="inlineStr">
        <is>
          <t xml:space="preserve">Fiorito</t>
        </is>
      </c>
      <c r="B95" s="150" t="inlineStr">
        <is>
          <t xml:space="preserve">Candela</t>
        </is>
      </c>
      <c r="C95" s="121" t="inlineStr">
        <is>
          <t xml:space="preserve">13 h</t>
        </is>
      </c>
      <c r="D95" s="121" t="inlineStr">
        <is>
          <t xml:space="preserve">Salón</t>
        </is>
      </c>
      <c r="E95" s="83">
        <v>10000</v>
      </c>
      <c r="F95" s="147" t="inlineStr">
        <is>
          <t xml:space="preserve">HELADO X  KILO</t>
        </is>
      </c>
      <c r="G95" s="147" t="inlineStr">
        <is>
          <t xml:space="preserve">1 1/2  KILO</t>
        </is>
      </c>
      <c r="H95" s="293" t="inlineStr">
        <is>
          <t xml:space="preserve">Rechazada</t>
        </is>
      </c>
      <c r="I95" s="147" t="inlineStr">
        <is>
          <t xml:space="preserve"/>
        </is>
      </c>
    </row>
    <row r="96">
      <c r="A96" s="146" t="inlineStr">
        <is>
          <t xml:space="preserve">Fiorito</t>
        </is>
      </c>
      <c r="B96" s="150" t="inlineStr">
        <is>
          <t xml:space="preserve">Candela</t>
        </is>
      </c>
      <c r="C96" s="121" t="inlineStr">
        <is>
          <t xml:space="preserve">13 h</t>
        </is>
      </c>
      <c r="D96" s="121" t="inlineStr">
        <is>
          <t xml:space="preserve">Salón</t>
        </is>
      </c>
      <c r="E96" s="83">
        <v>14600</v>
      </c>
      <c r="F96" s="147" t="inlineStr">
        <is>
          <t xml:space="preserve">PALITOS</t>
        </is>
      </c>
      <c r="G96" s="147" t="inlineStr">
        <is>
          <t xml:space="preserve">2 PALITO BOMBÓN X10 UN.</t>
        </is>
      </c>
      <c r="H96" s="293" t="inlineStr">
        <is>
          <t xml:space="preserve">Rechazada</t>
        </is>
      </c>
      <c r="I96" s="147" t="inlineStr">
        <is>
          <t xml:space="preserve"/>
        </is>
      </c>
    </row>
    <row r="97">
      <c r="A97" s="146" t="inlineStr">
        <is>
          <t xml:space="preserve">Fiorito</t>
        </is>
      </c>
      <c r="B97" s="150" t="inlineStr">
        <is>
          <t xml:space="preserve">Candela</t>
        </is>
      </c>
      <c r="C97" s="121" t="inlineStr">
        <is>
          <t xml:space="preserve">13 h</t>
        </is>
      </c>
      <c r="D97" s="121" t="inlineStr">
        <is>
          <t xml:space="preserve">Salón</t>
        </is>
      </c>
      <c r="E97" s="83">
        <v>16900</v>
      </c>
      <c r="F97" s="147" t="inlineStr">
        <is>
          <t xml:space="preserve">HELADO X  KILO</t>
        </is>
      </c>
      <c r="G97" s="147" t="inlineStr">
        <is>
          <t xml:space="preserve">1 1 KILO</t>
        </is>
      </c>
      <c r="H97" s="293" t="inlineStr">
        <is>
          <t xml:space="preserve">Rechazada</t>
        </is>
      </c>
      <c r="I97" s="147" t="inlineStr">
        <is>
          <t xml:space="preserve"/>
        </is>
      </c>
    </row>
    <row r="98">
      <c r="A98" s="146" t="inlineStr">
        <is>
          <t xml:space="preserve">Fiorito</t>
        </is>
      </c>
      <c r="B98" s="150" t="inlineStr">
        <is>
          <t xml:space="preserve">Candela</t>
        </is>
      </c>
      <c r="C98" s="121" t="inlineStr">
        <is>
          <t xml:space="preserve">13 h</t>
        </is>
      </c>
      <c r="D98" s="121" t="inlineStr">
        <is>
          <t xml:space="preserve">Salón</t>
        </is>
      </c>
      <c r="E98" s="83">
        <v>33800</v>
      </c>
      <c r="F98" s="147" t="inlineStr">
        <is>
          <t xml:space="preserve">FAMILIAR</t>
        </is>
      </c>
      <c r="G98" s="147" t="inlineStr">
        <is>
          <t xml:space="preserve">1 FAMNº4 (D.LECHE G/VAINILLA/CHOCOLATE) + 2 BOMBÓN CHOCO AVELLANAS X UN + 5 PALITO FRUTAL FRUTILLA X UNIDAD + 2 CUPS BLACK X 3</t>
        </is>
      </c>
      <c r="H98" s="227" t="inlineStr">
        <is>
          <t xml:space="preserve">Aceptada</t>
        </is>
      </c>
      <c r="I98" s="150" t="inlineStr">
        <is>
          <t xml:space="preserve">1 1/4  KILO</t>
        </is>
      </c>
    </row>
    <row r="99">
      <c r="A99" s="146" t="inlineStr">
        <is>
          <t xml:space="preserve">Fiorito</t>
        </is>
      </c>
      <c r="B99" s="150" t="inlineStr">
        <is>
          <t xml:space="preserve">Candela</t>
        </is>
      </c>
      <c r="C99" s="121" t="inlineStr">
        <is>
          <t xml:space="preserve">13 h</t>
        </is>
      </c>
      <c r="D99" s="121" t="inlineStr">
        <is>
          <t xml:space="preserve">Salón</t>
        </is>
      </c>
      <c r="E99" s="83">
        <v>36000</v>
      </c>
      <c r="F99" s="147" t="inlineStr">
        <is>
          <t xml:space="preserve">HELADO X  KILO</t>
        </is>
      </c>
      <c r="G99" s="147" t="inlineStr">
        <is>
          <t xml:space="preserve">2 1 KILO + 1 CUPS CLÁSICO BOCA ANCHA  X3 + 1 CUPS CONITO X 5 UN.</t>
        </is>
      </c>
      <c r="H99" s="293" t="inlineStr">
        <is>
          <t xml:space="preserve">Rechazada</t>
        </is>
      </c>
      <c r="I99" s="147" t="inlineStr">
        <is>
          <t xml:space="preserve"/>
        </is>
      </c>
    </row>
    <row r="100">
      <c r="A100" s="146" t="inlineStr">
        <is>
          <t xml:space="preserve">Fiorito</t>
        </is>
      </c>
      <c r="B100" s="150" t="inlineStr">
        <is>
          <t xml:space="preserve">Candela</t>
        </is>
      </c>
      <c r="C100" s="121" t="inlineStr">
        <is>
          <t xml:space="preserve">13 h</t>
        </is>
      </c>
      <c r="D100" s="121" t="inlineStr">
        <is>
          <t xml:space="preserve">Salón</t>
        </is>
      </c>
      <c r="E100" s="83">
        <v>8800</v>
      </c>
      <c r="F100" s="147" t="inlineStr">
        <is>
          <t xml:space="preserve">TENTACION</t>
        </is>
      </c>
      <c r="G100" s="147" t="inlineStr">
        <is>
          <t xml:space="preserve">1 T.CHOCOLATE</t>
        </is>
      </c>
      <c r="H100" s="293" t="inlineStr">
        <is>
          <t xml:space="preserve">Rechazada</t>
        </is>
      </c>
      <c r="I100" s="147" t="inlineStr">
        <is>
          <t xml:space="preserve"/>
        </is>
      </c>
    </row>
    <row r="101">
      <c r="A101" s="146" t="inlineStr">
        <is>
          <t xml:space="preserve">Fiorito</t>
        </is>
      </c>
      <c r="B101" s="150" t="inlineStr">
        <is>
          <t xml:space="preserve">Candela</t>
        </is>
      </c>
      <c r="C101" s="121" t="inlineStr">
        <is>
          <t xml:space="preserve">13 h</t>
        </is>
      </c>
      <c r="D101" s="121" t="inlineStr">
        <is>
          <t xml:space="preserve">Salón</t>
        </is>
      </c>
      <c r="E101" s="83">
        <v>6400</v>
      </c>
      <c r="F101" s="147" t="inlineStr">
        <is>
          <t xml:space="preserve">HELADO X  KILO</t>
        </is>
      </c>
      <c r="G101" s="147" t="inlineStr">
        <is>
          <t xml:space="preserve">1 1/4  KILO</t>
        </is>
      </c>
      <c r="H101" s="293" t="inlineStr">
        <is>
          <t xml:space="preserve">Rechazada</t>
        </is>
      </c>
      <c r="I101" s="147" t="inlineStr">
        <is>
          <t xml:space="preserve"/>
        </is>
      </c>
    </row>
    <row r="102">
      <c r="A102" s="146" t="inlineStr">
        <is>
          <t xml:space="preserve">Fiorito</t>
        </is>
      </c>
      <c r="B102" s="150" t="inlineStr">
        <is>
          <t xml:space="preserve">Candela</t>
        </is>
      </c>
      <c r="C102" s="121" t="inlineStr">
        <is>
          <t xml:space="preserve">13 h</t>
        </is>
      </c>
      <c r="D102" s="121" t="inlineStr">
        <is>
          <t xml:space="preserve">Salón</t>
        </is>
      </c>
      <c r="E102" s="83">
        <v>27600</v>
      </c>
      <c r="F102" s="147" t="inlineStr">
        <is>
          <t xml:space="preserve">POSTRES</t>
        </is>
      </c>
      <c r="G102" s="147" t="inlineStr">
        <is>
          <t xml:space="preserve">1 BOMBÓN CHOCO AVELLANAS CAJA X 8 + 1 BOMBON FRUTEZZA X8U.</t>
        </is>
      </c>
      <c r="H102" s="293" t="inlineStr">
        <is>
          <t xml:space="preserve">Rechazada</t>
        </is>
      </c>
      <c r="I102" s="147" t="inlineStr">
        <is>
          <t xml:space="preserve"/>
        </is>
      </c>
    </row>
    <row r="103">
      <c r="A103" s="146" t="inlineStr">
        <is>
          <t xml:space="preserve">Fiorito</t>
        </is>
      </c>
      <c r="B103" s="150" t="inlineStr">
        <is>
          <t xml:space="preserve">Candela</t>
        </is>
      </c>
      <c r="C103" s="121" t="inlineStr">
        <is>
          <t xml:space="preserve">13 h</t>
        </is>
      </c>
      <c r="D103" s="121" t="inlineStr">
        <is>
          <t xml:space="preserve">Salón</t>
        </is>
      </c>
      <c r="E103" s="83">
        <v>7000</v>
      </c>
      <c r="F103" s="147" t="inlineStr">
        <is>
          <t xml:space="preserve">HELADO X BOCHA</t>
        </is>
      </c>
      <c r="G103" s="147" t="inlineStr">
        <is>
          <t xml:space="preserve">2 GIGANTE 2 BOCHAS</t>
        </is>
      </c>
      <c r="H103" s="293" t="inlineStr">
        <is>
          <t xml:space="preserve">Rechazada</t>
        </is>
      </c>
      <c r="I103" s="147" t="inlineStr">
        <is>
          <t xml:space="preserve"/>
        </is>
      </c>
    </row>
    <row r="104">
      <c r="A104" s="146" t="inlineStr">
        <is>
          <t xml:space="preserve">Fiorito</t>
        </is>
      </c>
      <c r="B104" s="150" t="inlineStr">
        <is>
          <t xml:space="preserve">Candela</t>
        </is>
      </c>
      <c r="C104" s="121" t="inlineStr">
        <is>
          <t xml:space="preserve">13 h</t>
        </is>
      </c>
      <c r="D104" s="121" t="inlineStr">
        <is>
          <t xml:space="preserve">Salón</t>
        </is>
      </c>
      <c r="E104" s="83">
        <v>2500</v>
      </c>
      <c r="F104" s="147" t="inlineStr">
        <is>
          <t xml:space="preserve">PALITOS</t>
        </is>
      </c>
      <c r="G104" s="147" t="inlineStr">
        <is>
          <t xml:space="preserve">1 P.CREM.FRUTILLA X UNIDAD + 1 PALITO FRUTAL FRUTILLA X UNIDAD + 1 PALITO FRUTAL LIMON X UNIDAD</t>
        </is>
      </c>
      <c r="H104" s="293" t="inlineStr">
        <is>
          <t xml:space="preserve">Rechazada</t>
        </is>
      </c>
      <c r="I104" s="147" t="inlineStr">
        <is>
          <t xml:space="preserve"/>
        </is>
      </c>
    </row>
    <row r="105">
      <c r="A105" s="146" t="inlineStr">
        <is>
          <t xml:space="preserve">Fiorito</t>
        </is>
      </c>
      <c r="B105" s="150" t="inlineStr">
        <is>
          <t xml:space="preserve">Candela</t>
        </is>
      </c>
      <c r="C105" s="121" t="inlineStr">
        <is>
          <t xml:space="preserve">13 h</t>
        </is>
      </c>
      <c r="D105" s="121" t="inlineStr">
        <is>
          <t xml:space="preserve">Salón</t>
        </is>
      </c>
      <c r="E105" s="83">
        <v>6400</v>
      </c>
      <c r="F105" s="147" t="inlineStr">
        <is>
          <t xml:space="preserve">HELADO X  KILO</t>
        </is>
      </c>
      <c r="G105" s="147" t="inlineStr">
        <is>
          <t xml:space="preserve">1 1/4  KILO</t>
        </is>
      </c>
      <c r="H105" s="293" t="inlineStr">
        <is>
          <t xml:space="preserve">Rechazada</t>
        </is>
      </c>
      <c r="I105" s="147" t="inlineStr">
        <is>
          <t xml:space="preserve"/>
        </is>
      </c>
    </row>
    <row r="106">
      <c r="A106" s="146" t="inlineStr">
        <is>
          <t xml:space="preserve">Fiorito</t>
        </is>
      </c>
      <c r="B106" s="150" t="inlineStr">
        <is>
          <t xml:space="preserve">Candela</t>
        </is>
      </c>
      <c r="C106" s="121" t="inlineStr">
        <is>
          <t xml:space="preserve">14 h</t>
        </is>
      </c>
      <c r="D106" s="121" t="inlineStr">
        <is>
          <t xml:space="preserve">Salón</t>
        </is>
      </c>
      <c r="E106" s="83">
        <v>3900</v>
      </c>
      <c r="F106" s="147" t="inlineStr">
        <is>
          <t xml:space="preserve">HELADO X BOCHA</t>
        </is>
      </c>
      <c r="G106" s="147" t="inlineStr">
        <is>
          <t xml:space="preserve">1 GIGANTE 3 BOCHAS</t>
        </is>
      </c>
      <c r="H106" s="293" t="inlineStr">
        <is>
          <t xml:space="preserve">Rechazada</t>
        </is>
      </c>
      <c r="I106" s="147" t="inlineStr">
        <is>
          <t xml:space="preserve"/>
        </is>
      </c>
    </row>
    <row r="107">
      <c r="A107" s="146" t="inlineStr">
        <is>
          <t xml:space="preserve">Fiorito</t>
        </is>
      </c>
      <c r="B107" s="150" t="inlineStr">
        <is>
          <t xml:space="preserve">Candela</t>
        </is>
      </c>
      <c r="C107" s="121" t="inlineStr">
        <is>
          <t xml:space="preserve">14 h</t>
        </is>
      </c>
      <c r="D107" s="121" t="inlineStr">
        <is>
          <t xml:space="preserve">Salón</t>
        </is>
      </c>
      <c r="E107" s="83">
        <v>16900</v>
      </c>
      <c r="F107" s="147" t="inlineStr">
        <is>
          <t xml:space="preserve">HELADO X  KILO</t>
        </is>
      </c>
      <c r="G107" s="147" t="inlineStr">
        <is>
          <t xml:space="preserve">1 1 KILO</t>
        </is>
      </c>
      <c r="H107" s="293" t="inlineStr">
        <is>
          <t xml:space="preserve">Rechazada</t>
        </is>
      </c>
      <c r="I107" s="147" t="inlineStr">
        <is>
          <t xml:space="preserve"/>
        </is>
      </c>
    </row>
    <row r="108">
      <c r="A108" s="146" t="inlineStr">
        <is>
          <t xml:space="preserve">Fiorito</t>
        </is>
      </c>
      <c r="B108" s="150" t="inlineStr">
        <is>
          <t xml:space="preserve">Candela</t>
        </is>
      </c>
      <c r="C108" s="121" t="inlineStr">
        <is>
          <t xml:space="preserve">14 h</t>
        </is>
      </c>
      <c r="D108" s="121" t="inlineStr">
        <is>
          <t xml:space="preserve">Salón</t>
        </is>
      </c>
      <c r="E108" s="83">
        <v>10000</v>
      </c>
      <c r="F108" s="147" t="inlineStr">
        <is>
          <t xml:space="preserve">HELADO X  KILO</t>
        </is>
      </c>
      <c r="G108" s="147" t="inlineStr">
        <is>
          <t xml:space="preserve">1 1/2  KILO</t>
        </is>
      </c>
      <c r="H108" s="293" t="inlineStr">
        <is>
          <t xml:space="preserve">Rechazada</t>
        </is>
      </c>
      <c r="I108" s="147" t="inlineStr">
        <is>
          <t xml:space="preserve"/>
        </is>
      </c>
    </row>
    <row r="109">
      <c r="A109" s="146" t="inlineStr">
        <is>
          <t xml:space="preserve">Fiorito</t>
        </is>
      </c>
      <c r="B109" s="150" t="inlineStr">
        <is>
          <t xml:space="preserve">Candela</t>
        </is>
      </c>
      <c r="C109" s="121" t="inlineStr">
        <is>
          <t xml:space="preserve">14 h</t>
        </is>
      </c>
      <c r="D109" s="121" t="inlineStr">
        <is>
          <t xml:space="preserve">Salón</t>
        </is>
      </c>
      <c r="E109" s="83">
        <v>9600</v>
      </c>
      <c r="F109" s="147" t="inlineStr">
        <is>
          <t xml:space="preserve">TENTACION</t>
        </is>
      </c>
      <c r="G109" s="147" t="inlineStr">
        <is>
          <t xml:space="preserve">1 T.1 LT FRUTILLA + 1 PALITO FRUTAL NARANJA X UNIDAD</t>
        </is>
      </c>
      <c r="H109" s="293" t="inlineStr">
        <is>
          <t xml:space="preserve">Rechazada</t>
        </is>
      </c>
      <c r="I109" s="147" t="inlineStr">
        <is>
          <t xml:space="preserve"/>
        </is>
      </c>
    </row>
    <row r="110">
      <c r="A110" s="146" t="inlineStr">
        <is>
          <t xml:space="preserve">Fiorito</t>
        </is>
      </c>
      <c r="B110" s="150" t="inlineStr">
        <is>
          <t xml:space="preserve">Candela</t>
        </is>
      </c>
      <c r="C110" s="121" t="inlineStr">
        <is>
          <t xml:space="preserve">14 h</t>
        </is>
      </c>
      <c r="D110" s="121" t="inlineStr">
        <is>
          <t xml:space="preserve">Salón</t>
        </is>
      </c>
      <c r="E110" s="83">
        <v>41500</v>
      </c>
      <c r="F110" s="147" t="inlineStr">
        <is>
          <t xml:space="preserve">HELADO X  KILO</t>
        </is>
      </c>
      <c r="G110" s="147" t="inlineStr">
        <is>
          <t xml:space="preserve">1 1 KILO + 1 T. MENTA GRANIZADA + 1 PALITO CREMOSO AMERICANA X10 U. + 1 FRAMBUESAS DOBLE CHOCOLATE - GRIDO + 1 BOMBÓN CHOCO AVELLANAS X UN</t>
        </is>
      </c>
      <c r="H110" s="227" t="inlineStr">
        <is>
          <t xml:space="preserve">Aceptada</t>
        </is>
      </c>
      <c r="I110" s="150" t="inlineStr">
        <is>
          <t xml:space="preserve">1 BOMBON FRUTEZZA XU.</t>
        </is>
      </c>
    </row>
    <row r="111">
      <c r="A111" s="146" t="inlineStr">
        <is>
          <t xml:space="preserve">Fiorito</t>
        </is>
      </c>
      <c r="B111" s="150" t="inlineStr">
        <is>
          <t xml:space="preserve">Candela</t>
        </is>
      </c>
      <c r="C111" s="121" t="inlineStr">
        <is>
          <t xml:space="preserve">14 h</t>
        </is>
      </c>
      <c r="D111" s="121" t="inlineStr">
        <is>
          <t xml:space="preserve">Salón</t>
        </is>
      </c>
      <c r="E111" s="83">
        <v>27600</v>
      </c>
      <c r="F111" s="147" t="inlineStr">
        <is>
          <t xml:space="preserve">POSTRES</t>
        </is>
      </c>
      <c r="G111" s="147" t="inlineStr">
        <is>
          <t xml:space="preserve">1 BOMBÓN CHOCO AVELLANAS CAJA X 8 + 1 BOMBON FRUTEZZA X8U.</t>
        </is>
      </c>
      <c r="H111" s="293" t="inlineStr">
        <is>
          <t xml:space="preserve">Rechazada</t>
        </is>
      </c>
      <c r="I111" s="147" t="inlineStr">
        <is>
          <t xml:space="preserve"/>
        </is>
      </c>
    </row>
    <row r="112">
      <c r="A112" s="146" t="inlineStr">
        <is>
          <t xml:space="preserve">Fiorito</t>
        </is>
      </c>
      <c r="B112" s="150" t="inlineStr">
        <is>
          <t xml:space="preserve">Candela</t>
        </is>
      </c>
      <c r="C112" s="121" t="inlineStr">
        <is>
          <t xml:space="preserve">14 h</t>
        </is>
      </c>
      <c r="D112" s="121" t="inlineStr">
        <is>
          <t xml:space="preserve">Salón</t>
        </is>
      </c>
      <c r="E112" s="83">
        <v>7300</v>
      </c>
      <c r="F112" s="147" t="inlineStr">
        <is>
          <t xml:space="preserve">PALITOS</t>
        </is>
      </c>
      <c r="G112" s="147" t="inlineStr">
        <is>
          <t xml:space="preserve">1 PALITO BOMBÓN X10 UN.</t>
        </is>
      </c>
      <c r="H112" s="293" t="inlineStr">
        <is>
          <t xml:space="preserve">Rechazada</t>
        </is>
      </c>
      <c r="I112" s="147" t="inlineStr">
        <is>
          <t xml:space="preserve"/>
        </is>
      </c>
    </row>
    <row r="113">
      <c r="A113" s="146" t="inlineStr">
        <is>
          <t xml:space="preserve">Fiorito</t>
        </is>
      </c>
      <c r="B113" s="150" t="inlineStr">
        <is>
          <t xml:space="preserve">Candela</t>
        </is>
      </c>
      <c r="C113" s="121" t="inlineStr">
        <is>
          <t xml:space="preserve">15 h</t>
        </is>
      </c>
      <c r="D113" s="121" t="inlineStr">
        <is>
          <t xml:space="preserve">Salón</t>
        </is>
      </c>
      <c r="E113" s="83">
        <v>9500</v>
      </c>
      <c r="F113" s="147" t="inlineStr">
        <is>
          <t xml:space="preserve">CONGELADOS</t>
        </is>
      </c>
      <c r="G113" s="147" t="inlineStr">
        <is>
          <t xml:space="preserve">1 FRAMBUESAS DOBLE CHOCOLATE - GRIDO + 1 GIGANTE 3 BOCHAS</t>
        </is>
      </c>
      <c r="H113" s="293" t="inlineStr">
        <is>
          <t xml:space="preserve">Rechazada</t>
        </is>
      </c>
      <c r="I113" s="147" t="inlineStr">
        <is>
          <t xml:space="preserve"/>
        </is>
      </c>
    </row>
    <row r="114">
      <c r="A114" s="146" t="inlineStr">
        <is>
          <t xml:space="preserve">Fiorito</t>
        </is>
      </c>
      <c r="B114" s="150" t="inlineStr">
        <is>
          <t xml:space="preserve">Candela</t>
        </is>
      </c>
      <c r="C114" s="121" t="inlineStr">
        <is>
          <t xml:space="preserve">15 h</t>
        </is>
      </c>
      <c r="D114" s="121" t="inlineStr">
        <is>
          <t xml:space="preserve">Salón</t>
        </is>
      </c>
      <c r="E114" s="83">
        <v>16900</v>
      </c>
      <c r="F114" s="147" t="inlineStr">
        <is>
          <t xml:space="preserve">HELADO X  KILO</t>
        </is>
      </c>
      <c r="G114" s="147" t="inlineStr">
        <is>
          <t xml:space="preserve">1 1 KILO</t>
        </is>
      </c>
      <c r="H114" s="293" t="inlineStr">
        <is>
          <t xml:space="preserve">Rechazada</t>
        </is>
      </c>
      <c r="I114" s="147" t="inlineStr">
        <is>
          <t xml:space="preserve"/>
        </is>
      </c>
    </row>
    <row r="115">
      <c r="A115" s="146" t="inlineStr">
        <is>
          <t xml:space="preserve">Fiorito</t>
        </is>
      </c>
      <c r="B115" s="150" t="inlineStr">
        <is>
          <t xml:space="preserve">Candela</t>
        </is>
      </c>
      <c r="C115" s="121" t="inlineStr">
        <is>
          <t xml:space="preserve">15 h</t>
        </is>
      </c>
      <c r="D115" s="121" t="inlineStr">
        <is>
          <t xml:space="preserve">Salón</t>
        </is>
      </c>
      <c r="E115" s="83">
        <v>16900</v>
      </c>
      <c r="F115" s="147" t="inlineStr">
        <is>
          <t xml:space="preserve">HELADO X  KILO</t>
        </is>
      </c>
      <c r="G115" s="147" t="inlineStr">
        <is>
          <t xml:space="preserve">1 1 KILO</t>
        </is>
      </c>
      <c r="H115" s="293" t="inlineStr">
        <is>
          <t xml:space="preserve">Rechazada</t>
        </is>
      </c>
      <c r="I115" s="147" t="inlineStr">
        <is>
          <t xml:space="preserve"/>
        </is>
      </c>
    </row>
    <row r="116">
      <c r="A116" s="146" t="inlineStr">
        <is>
          <t xml:space="preserve">Fiorito</t>
        </is>
      </c>
      <c r="B116" s="150" t="inlineStr">
        <is>
          <t xml:space="preserve">Candela</t>
        </is>
      </c>
      <c r="C116" s="121" t="inlineStr">
        <is>
          <t xml:space="preserve">15 h</t>
        </is>
      </c>
      <c r="D116" s="121" t="inlineStr">
        <is>
          <t xml:space="preserve">Salón</t>
        </is>
      </c>
      <c r="E116" s="83">
        <v>17600</v>
      </c>
      <c r="F116" s="147" t="inlineStr">
        <is>
          <t xml:space="preserve">FAMILIAR</t>
        </is>
      </c>
      <c r="G116" s="147" t="inlineStr">
        <is>
          <t xml:space="preserve">1 FAMNº1 (CHOCOLATE/D.LECHE/AMERICANA)</t>
        </is>
      </c>
      <c r="H116" s="293" t="inlineStr">
        <is>
          <t xml:space="preserve">Rechazada</t>
        </is>
      </c>
      <c r="I116" s="147" t="inlineStr">
        <is>
          <t xml:space="preserve"/>
        </is>
      </c>
    </row>
    <row r="117">
      <c r="A117" s="146" t="inlineStr">
        <is>
          <t xml:space="preserve">Fiorito</t>
        </is>
      </c>
      <c r="B117" s="150" t="inlineStr">
        <is>
          <t xml:space="preserve">Candela</t>
        </is>
      </c>
      <c r="C117" s="121" t="inlineStr">
        <is>
          <t xml:space="preserve">15 h</t>
        </is>
      </c>
      <c r="D117" s="121" t="inlineStr">
        <is>
          <t xml:space="preserve">Salón</t>
        </is>
      </c>
      <c r="E117" s="83">
        <v>21900</v>
      </c>
      <c r="F117" s="147" t="inlineStr">
        <is>
          <t xml:space="preserve">HELADO X  KILO</t>
        </is>
      </c>
      <c r="G117" s="147" t="inlineStr">
        <is>
          <t xml:space="preserve">1 1 KILO</t>
        </is>
      </c>
      <c r="H117" s="227" t="inlineStr">
        <is>
          <t xml:space="preserve">Aceptada</t>
        </is>
      </c>
      <c r="I117" s="150" t="inlineStr">
        <is>
          <t xml:space="preserve">1 1/4  KILO</t>
        </is>
      </c>
    </row>
    <row r="118">
      <c r="A118" s="146" t="inlineStr">
        <is>
          <t xml:space="preserve">Fiorito</t>
        </is>
      </c>
      <c r="B118" s="150" t="inlineStr">
        <is>
          <t xml:space="preserve">Candela</t>
        </is>
      </c>
      <c r="C118" s="121" t="inlineStr">
        <is>
          <t xml:space="preserve">15 h</t>
        </is>
      </c>
      <c r="D118" s="121" t="inlineStr">
        <is>
          <t xml:space="preserve">Salón</t>
        </is>
      </c>
      <c r="E118" s="83">
        <v>4300</v>
      </c>
      <c r="F118" s="147" t="inlineStr">
        <is>
          <t xml:space="preserve">GRIDOS</t>
        </is>
      </c>
      <c r="G118" s="147" t="inlineStr">
        <is>
          <t xml:space="preserve">1 GRIDO BATIDO</t>
        </is>
      </c>
      <c r="H118" s="293" t="inlineStr">
        <is>
          <t xml:space="preserve">Rechazada</t>
        </is>
      </c>
      <c r="I118" s="147" t="inlineStr">
        <is>
          <t xml:space="preserve"/>
        </is>
      </c>
    </row>
    <row r="119">
      <c r="A119" s="146" t="inlineStr">
        <is>
          <t xml:space="preserve">Fiorito</t>
        </is>
      </c>
      <c r="B119" s="150" t="inlineStr">
        <is>
          <t xml:space="preserve">Candela</t>
        </is>
      </c>
      <c r="C119" s="121" t="inlineStr">
        <is>
          <t xml:space="preserve">15 h</t>
        </is>
      </c>
      <c r="D119" s="121" t="inlineStr">
        <is>
          <t xml:space="preserve">Salón</t>
        </is>
      </c>
      <c r="E119" s="83">
        <v>11760</v>
      </c>
      <c r="F119" s="147" t="inlineStr">
        <is>
          <t xml:space="preserve">POSTRES</t>
        </is>
      </c>
      <c r="G119" s="147" t="inlineStr">
        <is>
          <t xml:space="preserve">1 BOMBON CROCANTE EN CAJA X 8 + 1 PALITO BOMBÓN DDL X 10</t>
        </is>
      </c>
      <c r="H119" s="294" t="inlineStr">
        <is>
          <t xml:space="preserve">No ofrecida</t>
        </is>
      </c>
      <c r="I119" s="147" t="inlineStr">
        <is>
          <t xml:space="preserve"/>
        </is>
      </c>
    </row>
    <row r="120">
      <c r="A120" s="146" t="inlineStr">
        <is>
          <t xml:space="preserve">Fiorito</t>
        </is>
      </c>
      <c r="B120" s="150" t="inlineStr">
        <is>
          <t xml:space="preserve">Candela</t>
        </is>
      </c>
      <c r="C120" s="121" t="inlineStr">
        <is>
          <t xml:space="preserve">15 h</t>
        </is>
      </c>
      <c r="D120" s="121" t="inlineStr">
        <is>
          <t xml:space="preserve">Salón</t>
        </is>
      </c>
      <c r="E120" s="83">
        <v>16900</v>
      </c>
      <c r="F120" s="147" t="inlineStr">
        <is>
          <t xml:space="preserve">POSTRES</t>
        </is>
      </c>
      <c r="G120" s="147" t="inlineStr">
        <is>
          <t xml:space="preserve">1 CROCANTINO + 2 HEL. "DUL. EQUI. FRUTI" 80 GR XU.</t>
        </is>
      </c>
      <c r="H120" s="293" t="inlineStr">
        <is>
          <t xml:space="preserve">Rechazada</t>
        </is>
      </c>
      <c r="I120" s="147" t="inlineStr">
        <is>
          <t xml:space="preserve"/>
        </is>
      </c>
    </row>
    <row r="121">
      <c r="A121" s="146" t="inlineStr">
        <is>
          <t xml:space="preserve">Fiorito</t>
        </is>
      </c>
      <c r="B121" s="150" t="inlineStr">
        <is>
          <t xml:space="preserve">Candela</t>
        </is>
      </c>
      <c r="C121" s="121" t="inlineStr">
        <is>
          <t xml:space="preserve">15 h</t>
        </is>
      </c>
      <c r="D121" s="121" t="inlineStr">
        <is>
          <t xml:space="preserve">Salón</t>
        </is>
      </c>
      <c r="E121" s="83">
        <v>10700</v>
      </c>
      <c r="F121" s="147" t="inlineStr">
        <is>
          <t xml:space="preserve">POSTRES</t>
        </is>
      </c>
      <c r="G121" s="147" t="inlineStr">
        <is>
          <t xml:space="preserve">1 BARRA DELICIA CHOCOLATE Y MANI</t>
        </is>
      </c>
      <c r="H121" s="293" t="inlineStr">
        <is>
          <t xml:space="preserve">Rechazada</t>
        </is>
      </c>
      <c r="I121" s="147" t="inlineStr">
        <is>
          <t xml:space="preserve"/>
        </is>
      </c>
    </row>
    <row r="122">
      <c r="A122" s="146" t="inlineStr">
        <is>
          <t xml:space="preserve">Fiorito</t>
        </is>
      </c>
      <c r="B122" s="150" t="inlineStr">
        <is>
          <t xml:space="preserve">Candela</t>
        </is>
      </c>
      <c r="C122" s="121" t="inlineStr">
        <is>
          <t xml:space="preserve">15 h</t>
        </is>
      </c>
      <c r="D122" s="121" t="inlineStr">
        <is>
          <t xml:space="preserve">Salón</t>
        </is>
      </c>
      <c r="E122" s="83">
        <v>20400</v>
      </c>
      <c r="F122" s="147" t="inlineStr">
        <is>
          <t xml:space="preserve">POSTRES</t>
        </is>
      </c>
      <c r="G122" s="147" t="inlineStr">
        <is>
          <t xml:space="preserve">1 BOMBON SUIZO EN CAJA X 8 + 2 BOMBON SUIZO X UNIDAD</t>
        </is>
      </c>
      <c r="H122" s="227" t="inlineStr">
        <is>
          <t xml:space="preserve">Aceptada</t>
        </is>
      </c>
      <c r="I122" s="150" t="inlineStr">
        <is>
          <t xml:space="preserve">1 BOMBON FRUTEZZA XU.</t>
        </is>
      </c>
    </row>
    <row r="123">
      <c r="A123" s="146" t="inlineStr">
        <is>
          <t xml:space="preserve">Fiorito</t>
        </is>
      </c>
      <c r="B123" s="150" t="inlineStr">
        <is>
          <t xml:space="preserve">Candela</t>
        </is>
      </c>
      <c r="C123" s="121" t="inlineStr">
        <is>
          <t xml:space="preserve">15 h</t>
        </is>
      </c>
      <c r="D123" s="121" t="inlineStr">
        <is>
          <t xml:space="preserve">Salón</t>
        </is>
      </c>
      <c r="E123" s="83">
        <v>10000</v>
      </c>
      <c r="F123" s="147" t="inlineStr">
        <is>
          <t xml:space="preserve">HELADO X  KILO</t>
        </is>
      </c>
      <c r="G123" s="147" t="inlineStr">
        <is>
          <t xml:space="preserve">1 1/2  KILO</t>
        </is>
      </c>
      <c r="H123" s="293" t="inlineStr">
        <is>
          <t xml:space="preserve">Rechazada</t>
        </is>
      </c>
      <c r="I123" s="147" t="inlineStr">
        <is>
          <t xml:space="preserve"/>
        </is>
      </c>
    </row>
    <row r="124">
      <c r="A124" s="146" t="inlineStr">
        <is>
          <t xml:space="preserve">Fiorito</t>
        </is>
      </c>
      <c r="B124" s="150" t="inlineStr">
        <is>
          <t xml:space="preserve">Candela</t>
        </is>
      </c>
      <c r="C124" s="121" t="inlineStr">
        <is>
          <t xml:space="preserve">15 h</t>
        </is>
      </c>
      <c r="D124" s="121" t="inlineStr">
        <is>
          <t xml:space="preserve">Salón</t>
        </is>
      </c>
      <c r="E124" s="83">
        <v>10000</v>
      </c>
      <c r="F124" s="147" t="inlineStr">
        <is>
          <t xml:space="preserve">HELADO X  KILO</t>
        </is>
      </c>
      <c r="G124" s="147" t="inlineStr">
        <is>
          <t xml:space="preserve">1 1/2  KILO</t>
        </is>
      </c>
      <c r="H124" s="293" t="inlineStr">
        <is>
          <t xml:space="preserve">Rechazada</t>
        </is>
      </c>
      <c r="I124" s="147" t="inlineStr">
        <is>
          <t xml:space="preserve"/>
        </is>
      </c>
    </row>
    <row r="125">
      <c r="A125" s="146" t="inlineStr">
        <is>
          <t xml:space="preserve">Fiorito</t>
        </is>
      </c>
      <c r="B125" s="150" t="inlineStr">
        <is>
          <t xml:space="preserve">Candela</t>
        </is>
      </c>
      <c r="C125" s="121" t="inlineStr">
        <is>
          <t xml:space="preserve">16 h</t>
        </is>
      </c>
      <c r="D125" s="121" t="inlineStr">
        <is>
          <t xml:space="preserve">Salón</t>
        </is>
      </c>
      <c r="E125" s="83">
        <v>4800</v>
      </c>
      <c r="F125" s="147" t="inlineStr">
        <is>
          <t xml:space="preserve">POSTRES</t>
        </is>
      </c>
      <c r="G125" s="147" t="inlineStr">
        <is>
          <t xml:space="preserve">2 BOMBON ESCOCES X UNIDAD</t>
        </is>
      </c>
      <c r="H125" s="293" t="inlineStr">
        <is>
          <t xml:space="preserve">Rechazada</t>
        </is>
      </c>
      <c r="I125" s="147" t="inlineStr">
        <is>
          <t xml:space="preserve"/>
        </is>
      </c>
    </row>
    <row r="126">
      <c r="A126" s="146" t="inlineStr">
        <is>
          <t xml:space="preserve">Fiorito</t>
        </is>
      </c>
      <c r="B126" s="150" t="inlineStr">
        <is>
          <t xml:space="preserve">Candela</t>
        </is>
      </c>
      <c r="C126" s="121" t="inlineStr">
        <is>
          <t xml:space="preserve">16 h</t>
        </is>
      </c>
      <c r="D126" s="121" t="inlineStr">
        <is>
          <t xml:space="preserve">Salón</t>
        </is>
      </c>
      <c r="E126" s="83">
        <v>11200</v>
      </c>
      <c r="F126" s="147" t="inlineStr">
        <is>
          <t xml:space="preserve">HELADO X  KILO</t>
        </is>
      </c>
      <c r="G126" s="147" t="inlineStr">
        <is>
          <t xml:space="preserve">1 1/4  KILO + 1 BOMBON ESCOCES X UNIDAD + 1 BOMBÓN CHOCO AVELLANAS X UN</t>
        </is>
      </c>
      <c r="H126" s="293" t="inlineStr">
        <is>
          <t xml:space="preserve">Rechazada</t>
        </is>
      </c>
      <c r="I126" s="147" t="inlineStr">
        <is>
          <t xml:space="preserve"/>
        </is>
      </c>
    </row>
    <row r="127">
      <c r="A127" s="146" t="inlineStr">
        <is>
          <t xml:space="preserve">Fiorito</t>
        </is>
      </c>
      <c r="B127" s="150" t="inlineStr">
        <is>
          <t xml:space="preserve">Candela</t>
        </is>
      </c>
      <c r="C127" s="121" t="inlineStr">
        <is>
          <t xml:space="preserve">16 h</t>
        </is>
      </c>
      <c r="D127" s="121" t="inlineStr">
        <is>
          <t xml:space="preserve">Salón</t>
        </is>
      </c>
      <c r="E127" s="83">
        <v>16900</v>
      </c>
      <c r="F127" s="147" t="inlineStr">
        <is>
          <t xml:space="preserve">HELADO X  KILO</t>
        </is>
      </c>
      <c r="G127" s="147" t="inlineStr">
        <is>
          <t xml:space="preserve">1 1 KILO</t>
        </is>
      </c>
      <c r="H127" s="293" t="inlineStr">
        <is>
          <t xml:space="preserve">Rechazada</t>
        </is>
      </c>
      <c r="I127" s="147" t="inlineStr">
        <is>
          <t xml:space="preserve"/>
        </is>
      </c>
    </row>
    <row r="128">
      <c r="A128" s="146" t="inlineStr">
        <is>
          <t xml:space="preserve">Fiorito</t>
        </is>
      </c>
      <c r="B128" s="150" t="inlineStr">
        <is>
          <t xml:space="preserve">Candela</t>
        </is>
      </c>
      <c r="C128" s="121" t="inlineStr">
        <is>
          <t xml:space="preserve">16 h</t>
        </is>
      </c>
      <c r="D128" s="121" t="inlineStr">
        <is>
          <t xml:space="preserve">Salón</t>
        </is>
      </c>
      <c r="E128" s="83">
        <v>26900</v>
      </c>
      <c r="F128" s="147" t="inlineStr">
        <is>
          <t xml:space="preserve">HELADO X  KILO</t>
        </is>
      </c>
      <c r="G128" s="147" t="inlineStr">
        <is>
          <t xml:space="preserve">1 1 KILO + 1 1/2  KILO</t>
        </is>
      </c>
      <c r="H128" s="293" t="inlineStr">
        <is>
          <t xml:space="preserve">Rechazada</t>
        </is>
      </c>
      <c r="I128" s="147" t="inlineStr">
        <is>
          <t xml:space="preserve"/>
        </is>
      </c>
    </row>
    <row r="129">
      <c r="A129" s="146" t="inlineStr">
        <is>
          <t xml:space="preserve">Fiorito</t>
        </is>
      </c>
      <c r="B129" s="150" t="inlineStr">
        <is>
          <t xml:space="preserve">Candela</t>
        </is>
      </c>
      <c r="C129" s="121" t="inlineStr">
        <is>
          <t xml:space="preserve">16 h</t>
        </is>
      </c>
      <c r="D129" s="121" t="inlineStr">
        <is>
          <t xml:space="preserve">Salón</t>
        </is>
      </c>
      <c r="E129" s="83">
        <v>5900</v>
      </c>
      <c r="F129" s="147" t="inlineStr">
        <is>
          <t xml:space="preserve">HELADO X BOCHA</t>
        </is>
      </c>
      <c r="G129" s="147" t="inlineStr">
        <is>
          <t xml:space="preserve">1 GIGANTE 3 BOCHAS</t>
        </is>
      </c>
      <c r="H129" s="227" t="inlineStr">
        <is>
          <t xml:space="preserve">Aceptada</t>
        </is>
      </c>
      <c r="I129" s="150" t="inlineStr">
        <is>
          <t xml:space="preserve">1 BOMBON FRUTEZZA XU.</t>
        </is>
      </c>
    </row>
    <row r="130">
      <c r="A130" s="146" t="inlineStr">
        <is>
          <t xml:space="preserve">Fiorito</t>
        </is>
      </c>
      <c r="B130" s="150" t="inlineStr">
        <is>
          <t xml:space="preserve">Candela</t>
        </is>
      </c>
      <c r="C130" s="121" t="inlineStr">
        <is>
          <t xml:space="preserve">16 h</t>
        </is>
      </c>
      <c r="D130" s="121" t="inlineStr">
        <is>
          <t xml:space="preserve">Salón</t>
        </is>
      </c>
      <c r="E130" s="83">
        <v>9000</v>
      </c>
      <c r="F130" s="147" t="inlineStr">
        <is>
          <t xml:space="preserve">HELADO X BOCHA</t>
        </is>
      </c>
      <c r="G130" s="147" t="inlineStr">
        <is>
          <t xml:space="preserve">2 GIGANTE 2 BOCHAS</t>
        </is>
      </c>
      <c r="H130" s="227" t="inlineStr">
        <is>
          <t xml:space="preserve">Aceptada</t>
        </is>
      </c>
      <c r="I130" s="150" t="inlineStr">
        <is>
          <t xml:space="preserve">1 BOMBON FRUTEZZA XU.</t>
        </is>
      </c>
    </row>
    <row r="131">
      <c r="A131" s="146" t="inlineStr">
        <is>
          <t xml:space="preserve">Fiorito</t>
        </is>
      </c>
      <c r="B131" s="150" t="inlineStr">
        <is>
          <t xml:space="preserve">Candela</t>
        </is>
      </c>
      <c r="C131" s="121" t="inlineStr">
        <is>
          <t xml:space="preserve">16 h</t>
        </is>
      </c>
      <c r="D131" s="121" t="inlineStr">
        <is>
          <t xml:space="preserve">Salón</t>
        </is>
      </c>
      <c r="E131" s="83">
        <v>11400</v>
      </c>
      <c r="F131" s="147" t="inlineStr">
        <is>
          <t xml:space="preserve">HELADO X  KILO</t>
        </is>
      </c>
      <c r="G131" s="147" t="inlineStr">
        <is>
          <t xml:space="preserve">1 1/4  KILO</t>
        </is>
      </c>
      <c r="H131" s="227" t="inlineStr">
        <is>
          <t xml:space="preserve">Aceptada</t>
        </is>
      </c>
      <c r="I131" s="150" t="inlineStr">
        <is>
          <t xml:space="preserve">1 1/4  KILO</t>
        </is>
      </c>
    </row>
    <row r="132">
      <c r="A132" s="146" t="inlineStr">
        <is>
          <t xml:space="preserve">Fiorito</t>
        </is>
      </c>
      <c r="B132" s="150" t="inlineStr">
        <is>
          <t xml:space="preserve">Candela</t>
        </is>
      </c>
      <c r="C132" s="121" t="inlineStr">
        <is>
          <t xml:space="preserve">16 h</t>
        </is>
      </c>
      <c r="D132" s="121" t="inlineStr">
        <is>
          <t xml:space="preserve">Salón</t>
        </is>
      </c>
      <c r="E132" s="83">
        <v>8200</v>
      </c>
      <c r="F132" s="147" t="inlineStr">
        <is>
          <t xml:space="preserve">HELADO X BOCHA</t>
        </is>
      </c>
      <c r="G132" s="147" t="inlineStr">
        <is>
          <t xml:space="preserve">2 CUCURUCHO GRIDO 3 BOCHAS</t>
        </is>
      </c>
      <c r="H132" s="293" t="inlineStr">
        <is>
          <t xml:space="preserve">Rechazada</t>
        </is>
      </c>
      <c r="I132" s="147" t="inlineStr">
        <is>
          <t xml:space="preserve"/>
        </is>
      </c>
    </row>
    <row r="133">
      <c r="A133" s="146" t="inlineStr">
        <is>
          <t xml:space="preserve">Fiorito</t>
        </is>
      </c>
      <c r="B133" s="150" t="inlineStr">
        <is>
          <t xml:space="preserve">Candela</t>
        </is>
      </c>
      <c r="C133" s="121" t="inlineStr">
        <is>
          <t xml:space="preserve">16 h</t>
        </is>
      </c>
      <c r="D133" s="121" t="inlineStr">
        <is>
          <t xml:space="preserve">Salón</t>
        </is>
      </c>
      <c r="E133" s="83">
        <v>17600</v>
      </c>
      <c r="F133" s="147" t="inlineStr">
        <is>
          <t xml:space="preserve">FAMILIAR</t>
        </is>
      </c>
      <c r="G133" s="147" t="inlineStr">
        <is>
          <t xml:space="preserve">1 FAMNº1 (CHOCOLATE/D.LECHE/AMERICANA)</t>
        </is>
      </c>
      <c r="H133" s="293" t="inlineStr">
        <is>
          <t xml:space="preserve">Rechazada</t>
        </is>
      </c>
      <c r="I133" s="147" t="inlineStr">
        <is>
          <t xml:space="preserve"/>
        </is>
      </c>
    </row>
    <row r="134">
      <c r="A134" s="146" t="inlineStr">
        <is>
          <t xml:space="preserve">Fiorito</t>
        </is>
      </c>
      <c r="B134" s="150" t="inlineStr">
        <is>
          <t xml:space="preserve">Candela</t>
        </is>
      </c>
      <c r="C134" s="121" t="inlineStr">
        <is>
          <t xml:space="preserve">16 h</t>
        </is>
      </c>
      <c r="D134" s="121" t="inlineStr">
        <is>
          <t xml:space="preserve">Salón</t>
        </is>
      </c>
      <c r="E134" s="83">
        <v>35200</v>
      </c>
      <c r="F134" s="147" t="inlineStr">
        <is>
          <t xml:space="preserve">FAMILIAR</t>
        </is>
      </c>
      <c r="G134" s="147" t="inlineStr">
        <is>
          <t xml:space="preserve">1 FAMNº4 (D.LECHE G/VAINILLA/CHOCOLATE) + 1 FAMNº2 (AMERICANA/FRUTILLA/DDL GRANIZADO)</t>
        </is>
      </c>
      <c r="H134" s="293" t="inlineStr">
        <is>
          <t xml:space="preserve">Rechazada</t>
        </is>
      </c>
      <c r="I134" s="147" t="inlineStr">
        <is>
          <t xml:space="preserve"/>
        </is>
      </c>
    </row>
    <row r="135">
      <c r="A135" s="146" t="inlineStr">
        <is>
          <t xml:space="preserve">Fiorito</t>
        </is>
      </c>
      <c r="B135" s="150" t="inlineStr">
        <is>
          <t xml:space="preserve">Candela</t>
        </is>
      </c>
      <c r="C135" s="121" t="inlineStr">
        <is>
          <t xml:space="preserve">16 h</t>
        </is>
      </c>
      <c r="D135" s="121" t="inlineStr">
        <is>
          <t xml:space="preserve">Salón</t>
        </is>
      </c>
      <c r="E135" s="83">
        <v>33700</v>
      </c>
      <c r="F135" s="147" t="inlineStr">
        <is>
          <t xml:space="preserve">HELADO X  KILO</t>
        </is>
      </c>
      <c r="G135" s="147" t="inlineStr">
        <is>
          <t xml:space="preserve">1 1 KILO + 1 1/4  KILO + 1 BOMBON ESCOCES X UNIDAD</t>
        </is>
      </c>
      <c r="H135" s="227" t="inlineStr">
        <is>
          <t xml:space="preserve">Aceptada</t>
        </is>
      </c>
      <c r="I135" s="150" t="inlineStr">
        <is>
          <t xml:space="preserve">1 1/2  KILO</t>
        </is>
      </c>
    </row>
    <row r="136">
      <c r="A136" s="146" t="inlineStr">
        <is>
          <t xml:space="preserve">Fiorito</t>
        </is>
      </c>
      <c r="B136" s="150" t="inlineStr">
        <is>
          <t xml:space="preserve">Candela</t>
        </is>
      </c>
      <c r="C136" s="121" t="inlineStr">
        <is>
          <t xml:space="preserve">16 h</t>
        </is>
      </c>
      <c r="D136" s="121" t="inlineStr">
        <is>
          <t xml:space="preserve">Salón</t>
        </is>
      </c>
      <c r="E136" s="83">
        <v>23300</v>
      </c>
      <c r="F136" s="147" t="inlineStr">
        <is>
          <t xml:space="preserve">HELADO X  KILO</t>
        </is>
      </c>
      <c r="G136" s="147" t="inlineStr">
        <is>
          <t xml:space="preserve">1 1 KILO + 1 1/4  KILO</t>
        </is>
      </c>
      <c r="H136" s="293" t="inlineStr">
        <is>
          <t xml:space="preserve">Rechazada</t>
        </is>
      </c>
      <c r="I136" s="147" t="inlineStr">
        <is>
          <t xml:space="preserve"/>
        </is>
      </c>
    </row>
    <row r="137">
      <c r="A137" s="146" t="inlineStr">
        <is>
          <t xml:space="preserve">Fiorito</t>
        </is>
      </c>
      <c r="B137" s="150" t="inlineStr">
        <is>
          <t xml:space="preserve">Candela</t>
        </is>
      </c>
      <c r="C137" s="121" t="inlineStr">
        <is>
          <t xml:space="preserve">17 h</t>
        </is>
      </c>
      <c r="D137" s="121" t="inlineStr">
        <is>
          <t xml:space="preserve">Salón</t>
        </is>
      </c>
      <c r="E137" s="83">
        <v>10000</v>
      </c>
      <c r="F137" s="147" t="inlineStr">
        <is>
          <t xml:space="preserve">HELADO X  KILO</t>
        </is>
      </c>
      <c r="G137" s="147" t="inlineStr">
        <is>
          <t xml:space="preserve">1 1/2  KILO</t>
        </is>
      </c>
      <c r="H137" s="293" t="inlineStr">
        <is>
          <t xml:space="preserve">Rechazada</t>
        </is>
      </c>
      <c r="I137" s="147" t="inlineStr">
        <is>
          <t xml:space="preserve"/>
        </is>
      </c>
    </row>
    <row r="138">
      <c r="A138" s="146" t="inlineStr">
        <is>
          <t xml:space="preserve">Fiorito</t>
        </is>
      </c>
      <c r="B138" s="150" t="inlineStr">
        <is>
          <t xml:space="preserve">Candela</t>
        </is>
      </c>
      <c r="C138" s="121" t="inlineStr">
        <is>
          <t xml:space="preserve">17 h</t>
        </is>
      </c>
      <c r="D138" s="121" t="inlineStr">
        <is>
          <t xml:space="preserve">Salón</t>
        </is>
      </c>
      <c r="E138" s="83">
        <v>18300</v>
      </c>
      <c r="F138" s="147" t="inlineStr">
        <is>
          <t xml:space="preserve">POSTRES</t>
        </is>
      </c>
      <c r="G138" s="147" t="inlineStr">
        <is>
          <t xml:space="preserve">1 CROCANTINO + 1 FRUTILLAS DOBLE CHOCOLATE - GRIDO</t>
        </is>
      </c>
      <c r="H138" s="227" t="inlineStr">
        <is>
          <t xml:space="preserve">Aceptada</t>
        </is>
      </c>
      <c r="I138" s="150" t="inlineStr">
        <is>
          <t xml:space="preserve">1 BOMBON FRUTEZZA XU.</t>
        </is>
      </c>
    </row>
    <row r="139">
      <c r="A139" s="146" t="inlineStr">
        <is>
          <t xml:space="preserve">Fiorito</t>
        </is>
      </c>
      <c r="B139" s="150" t="inlineStr">
        <is>
          <t xml:space="preserve">Luana</t>
        </is>
      </c>
      <c r="C139" s="121" t="inlineStr">
        <is>
          <t xml:space="preserve">17 h</t>
        </is>
      </c>
      <c r="D139" s="121" t="inlineStr">
        <is>
          <t xml:space="preserve">Delivery propio</t>
        </is>
      </c>
      <c r="E139" s="83">
        <v>24900</v>
      </c>
      <c r="F139" s="147" t="inlineStr">
        <is>
          <t xml:space="preserve">HELADO X  KILO</t>
        </is>
      </c>
      <c r="G139" s="147" t="inlineStr">
        <is>
          <t xml:space="preserve">1 1 KILO</t>
        </is>
      </c>
      <c r="H139" s="227" t="inlineStr">
        <is>
          <t xml:space="preserve">Aceptada</t>
        </is>
      </c>
      <c r="I139" s="150" t="inlineStr">
        <is>
          <t xml:space="preserve">1 1/2  KILO</t>
        </is>
      </c>
    </row>
    <row r="140">
      <c r="A140" s="146" t="inlineStr">
        <is>
          <t xml:space="preserve">Fiorito</t>
        </is>
      </c>
      <c r="B140" s="150" t="inlineStr">
        <is>
          <t xml:space="preserve">Luana</t>
        </is>
      </c>
      <c r="C140" s="121" t="inlineStr">
        <is>
          <t xml:space="preserve">17 h</t>
        </is>
      </c>
      <c r="D140" s="121" t="inlineStr">
        <is>
          <t xml:space="preserve">Delivery propio</t>
        </is>
      </c>
      <c r="E140" s="83">
        <v>21100</v>
      </c>
      <c r="F140" s="147" t="inlineStr">
        <is>
          <t xml:space="preserve">PALITOS</t>
        </is>
      </c>
      <c r="G140" s="147" t="inlineStr">
        <is>
          <t xml:space="preserve">1 PALITO BOMBÓN DDL X 10 + 1 PALITO CREMOSO AMERICANA X10 U. + 1 PALITO CREMOSO FRUTILLA X10 U. + 1 ENVIO A DOMICILIO</t>
        </is>
      </c>
      <c r="H140" s="293" t="inlineStr">
        <is>
          <t xml:space="preserve">Rechazada</t>
        </is>
      </c>
      <c r="I140" s="147" t="inlineStr">
        <is>
          <t xml:space="preserve"/>
        </is>
      </c>
    </row>
    <row r="141">
      <c r="A141" s="146" t="inlineStr">
        <is>
          <t xml:space="preserve">Fiorito</t>
        </is>
      </c>
      <c r="B141" s="150" t="inlineStr">
        <is>
          <t xml:space="preserve">Luana</t>
        </is>
      </c>
      <c r="C141" s="121" t="inlineStr">
        <is>
          <t xml:space="preserve">17 h</t>
        </is>
      </c>
      <c r="D141" s="121" t="inlineStr">
        <is>
          <t xml:space="preserve">Delivery propio</t>
        </is>
      </c>
      <c r="E141" s="83">
        <v>22800</v>
      </c>
      <c r="F141" s="147" t="inlineStr">
        <is>
          <t xml:space="preserve">HELADO X  KILO</t>
        </is>
      </c>
      <c r="G141" s="147" t="inlineStr">
        <is>
          <t xml:space="preserve">1 1/2  KILO + 1 FRUTILLAS DOBLE CHOCOLATE - GRIDO + 1 ENVIO A DOMICILIO</t>
        </is>
      </c>
      <c r="H141" s="227" t="inlineStr">
        <is>
          <t xml:space="preserve">Aceptada</t>
        </is>
      </c>
      <c r="I141" s="150" t="inlineStr">
        <is>
          <t xml:space="preserve">1 1/4  KILO</t>
        </is>
      </c>
    </row>
    <row r="142">
      <c r="A142" s="146" t="inlineStr">
        <is>
          <t xml:space="preserve">Fiorito</t>
        </is>
      </c>
      <c r="B142" s="150" t="inlineStr">
        <is>
          <t xml:space="preserve">Luana</t>
        </is>
      </c>
      <c r="C142" s="121" t="inlineStr">
        <is>
          <t xml:space="preserve">17 h</t>
        </is>
      </c>
      <c r="D142" s="121" t="inlineStr">
        <is>
          <t xml:space="preserve">Delivery propio</t>
        </is>
      </c>
      <c r="E142" s="83">
        <v>19800</v>
      </c>
      <c r="F142" s="147" t="inlineStr">
        <is>
          <t xml:space="preserve">FAMILIAR</t>
        </is>
      </c>
      <c r="G142" s="147" t="inlineStr">
        <is>
          <t xml:space="preserve">1 FAMNº3 (VAINILLA/FRUTILLA/GRANIZADO) + 1 ENVIO A DOMICILIO</t>
        </is>
      </c>
      <c r="H142" s="293" t="inlineStr">
        <is>
          <t xml:space="preserve">Rechazada</t>
        </is>
      </c>
      <c r="I142" s="147" t="inlineStr">
        <is>
          <t xml:space="preserve"/>
        </is>
      </c>
    </row>
    <row r="143">
      <c r="A143" s="146" t="inlineStr">
        <is>
          <t xml:space="preserve">Fiorito</t>
        </is>
      </c>
      <c r="B143" s="150" t="inlineStr">
        <is>
          <t xml:space="preserve">Luana</t>
        </is>
      </c>
      <c r="C143" s="121" t="inlineStr">
        <is>
          <t xml:space="preserve">17 h</t>
        </is>
      </c>
      <c r="D143" s="121" t="inlineStr">
        <is>
          <t xml:space="preserve">Delivery propio</t>
        </is>
      </c>
      <c r="E143" s="83">
        <v>22200</v>
      </c>
      <c r="F143" s="147" t="inlineStr">
        <is>
          <t xml:space="preserve">TENTACION</t>
        </is>
      </c>
      <c r="G143" s="147" t="inlineStr">
        <is>
          <t xml:space="preserve">1 T.1 LT FRUTILLA + 1 TODDY GALLETITAS + 1 BOMBON ESCOCES X UNIDAD + 1 ENVIO A DOMICILIO</t>
        </is>
      </c>
      <c r="H143" s="293" t="inlineStr">
        <is>
          <t xml:space="preserve">Rechazada</t>
        </is>
      </c>
      <c r="I143" s="147" t="inlineStr">
        <is>
          <t xml:space="preserve"/>
        </is>
      </c>
    </row>
    <row r="144">
      <c r="A144" s="146" t="inlineStr">
        <is>
          <t xml:space="preserve">Fiorito</t>
        </is>
      </c>
      <c r="B144" s="150" t="inlineStr">
        <is>
          <t xml:space="preserve">Luana</t>
        </is>
      </c>
      <c r="C144" s="121" t="inlineStr">
        <is>
          <t xml:space="preserve">17 h</t>
        </is>
      </c>
      <c r="D144" s="121" t="inlineStr">
        <is>
          <t xml:space="preserve">Delivery propio</t>
        </is>
      </c>
      <c r="E144" s="83">
        <v>12200</v>
      </c>
      <c r="F144" s="147" t="inlineStr">
        <is>
          <t xml:space="preserve">HELADO X  KILO</t>
        </is>
      </c>
      <c r="G144" s="147" t="inlineStr">
        <is>
          <t xml:space="preserve">1 1/2  KILO + 1 ENVIO A DOMICILIO</t>
        </is>
      </c>
      <c r="H144" s="293" t="inlineStr">
        <is>
          <t xml:space="preserve">Rechazada</t>
        </is>
      </c>
      <c r="I144" s="147" t="inlineStr">
        <is>
          <t xml:space="preserve"/>
        </is>
      </c>
    </row>
    <row r="145">
      <c r="A145" s="146" t="inlineStr">
        <is>
          <t xml:space="preserve">Fiorito</t>
        </is>
      </c>
      <c r="B145" s="150" t="inlineStr">
        <is>
          <t xml:space="preserve">Luana</t>
        </is>
      </c>
      <c r="C145" s="121" t="inlineStr">
        <is>
          <t xml:space="preserve">17 h</t>
        </is>
      </c>
      <c r="D145" s="121" t="inlineStr">
        <is>
          <t xml:space="preserve">Delivery propio</t>
        </is>
      </c>
      <c r="E145" s="83">
        <v>19800</v>
      </c>
      <c r="F145" s="147" t="inlineStr">
        <is>
          <t xml:space="preserve">FAMILIAR</t>
        </is>
      </c>
      <c r="G145" s="147" t="inlineStr">
        <is>
          <t xml:space="preserve">1 FAMNº3 (VAINILLA/FRUTILLA/GRANIZADO) + 1 ENVIO A DOMICILIO</t>
        </is>
      </c>
      <c r="H145" s="293" t="inlineStr">
        <is>
          <t xml:space="preserve">Rechazada</t>
        </is>
      </c>
      <c r="I145" s="147" t="inlineStr">
        <is>
          <t xml:space="preserve"/>
        </is>
      </c>
    </row>
    <row r="146">
      <c r="A146" s="146" t="inlineStr">
        <is>
          <t xml:space="preserve">Fiorito</t>
        </is>
      </c>
      <c r="B146" s="150" t="inlineStr">
        <is>
          <t xml:space="preserve">Luana</t>
        </is>
      </c>
      <c r="C146" s="121" t="inlineStr">
        <is>
          <t xml:space="preserve">17 h</t>
        </is>
      </c>
      <c r="D146" s="121" t="inlineStr">
        <is>
          <t xml:space="preserve">Delivery propio</t>
        </is>
      </c>
      <c r="E146" s="83">
        <v>27000</v>
      </c>
      <c r="F146" s="147" t="inlineStr">
        <is>
          <t xml:space="preserve">TORTAS</t>
        </is>
      </c>
      <c r="G146" s="147" t="inlineStr">
        <is>
          <t xml:space="preserve">1 TORTA FRUTILLAS CON CREMA + 1 PALITO BOMBÓN X10 UN. + 1 ENVIO A DOMICILIO</t>
        </is>
      </c>
      <c r="H146" s="293" t="inlineStr">
        <is>
          <t xml:space="preserve">Rechazada</t>
        </is>
      </c>
      <c r="I146" s="147" t="inlineStr">
        <is>
          <t xml:space="preserve"/>
        </is>
      </c>
    </row>
    <row r="147">
      <c r="A147" s="146" t="inlineStr">
        <is>
          <t xml:space="preserve">Fiorito</t>
        </is>
      </c>
      <c r="B147" s="150" t="inlineStr">
        <is>
          <t xml:space="preserve">Luana</t>
        </is>
      </c>
      <c r="C147" s="121" t="inlineStr">
        <is>
          <t xml:space="preserve">17 h</t>
        </is>
      </c>
      <c r="D147" s="121" t="inlineStr">
        <is>
          <t xml:space="preserve">Salón</t>
        </is>
      </c>
      <c r="E147" s="83">
        <v>16300</v>
      </c>
      <c r="F147" s="147" t="inlineStr">
        <is>
          <t xml:space="preserve">PALITOS</t>
        </is>
      </c>
      <c r="G147" s="147" t="inlineStr">
        <is>
          <t xml:space="preserve">1 P.FRUT.FRUTILLA EN CAJA X 20 + 1 PALITO CREMOSO AMERICANA X10 U.</t>
        </is>
      </c>
      <c r="H147" s="293" t="inlineStr">
        <is>
          <t xml:space="preserve">Rechazada</t>
        </is>
      </c>
      <c r="I147" s="147" t="inlineStr">
        <is>
          <t xml:space="preserve"/>
        </is>
      </c>
    </row>
    <row r="148">
      <c r="A148" s="146" t="inlineStr">
        <is>
          <t xml:space="preserve">Fiorito</t>
        </is>
      </c>
      <c r="B148" s="150" t="inlineStr">
        <is>
          <t xml:space="preserve">Luana</t>
        </is>
      </c>
      <c r="C148" s="121" t="inlineStr">
        <is>
          <t xml:space="preserve">17 h</t>
        </is>
      </c>
      <c r="D148" s="121" t="inlineStr">
        <is>
          <t xml:space="preserve">PedidosYa</t>
        </is>
      </c>
      <c r="E148" s="83">
        <v>17839</v>
      </c>
      <c r="F148" s="147" t="inlineStr">
        <is>
          <t xml:space="preserve">PALITOS</t>
        </is>
      </c>
      <c r="G148" s="147" t="inlineStr">
        <is>
          <t xml:space="preserve">2 PALITO BOMBÓN X10 UN. + 1 ENVIO A DOMICILIO</t>
        </is>
      </c>
      <c r="H148" s="294" t="inlineStr">
        <is>
          <t xml:space="preserve">No ofrecida</t>
        </is>
      </c>
      <c r="I148" s="147" t="inlineStr">
        <is>
          <t xml:space="preserve"/>
        </is>
      </c>
    </row>
    <row r="149">
      <c r="A149" s="146" t="inlineStr">
        <is>
          <t xml:space="preserve">Fiorito</t>
        </is>
      </c>
      <c r="B149" s="150" t="inlineStr">
        <is>
          <t xml:space="preserve">Luana</t>
        </is>
      </c>
      <c r="C149" s="121" t="inlineStr">
        <is>
          <t xml:space="preserve">17 h</t>
        </is>
      </c>
      <c r="D149" s="121" t="inlineStr">
        <is>
          <t xml:space="preserve">PediGrido</t>
        </is>
      </c>
      <c r="E149" s="83">
        <v>17500</v>
      </c>
      <c r="F149" s="147" t="inlineStr">
        <is>
          <t xml:space="preserve">TORTAS</t>
        </is>
      </c>
      <c r="G149" s="147" t="inlineStr">
        <is>
          <t xml:space="preserve">1 TORTA GRIDO RELLENA + 1 ENVIO A DOMICILIO</t>
        </is>
      </c>
      <c r="H149" s="294" t="inlineStr">
        <is>
          <t xml:space="preserve">No ofrecida</t>
        </is>
      </c>
      <c r="I149" s="147" t="inlineStr">
        <is>
          <t xml:space="preserve"/>
        </is>
      </c>
    </row>
    <row r="150">
      <c r="A150" s="146" t="inlineStr">
        <is>
          <t xml:space="preserve">Fiorito</t>
        </is>
      </c>
      <c r="B150" s="150" t="inlineStr">
        <is>
          <t xml:space="preserve">Luana</t>
        </is>
      </c>
      <c r="C150" s="121" t="inlineStr">
        <is>
          <t xml:space="preserve">17 h</t>
        </is>
      </c>
      <c r="D150" s="121" t="inlineStr">
        <is>
          <t xml:space="preserve">PediGrido</t>
        </is>
      </c>
      <c r="E150" s="83">
        <v>11400</v>
      </c>
      <c r="F150" s="147" t="inlineStr">
        <is>
          <t xml:space="preserve">HELADO X  KILO</t>
        </is>
      </c>
      <c r="G150" s="147" t="inlineStr">
        <is>
          <t xml:space="preserve">1 1/2  KILO + 1 1/4  KILO + 1 1/4  KILO + 1 ENVIO A DOMICILIO</t>
        </is>
      </c>
      <c r="H150" s="294" t="inlineStr">
        <is>
          <t xml:space="preserve">No ofrecida</t>
        </is>
      </c>
      <c r="I150" s="147" t="inlineStr">
        <is>
          <t xml:space="preserve"/>
        </is>
      </c>
    </row>
    <row r="151">
      <c r="A151" s="146" t="inlineStr">
        <is>
          <t xml:space="preserve">Fiorito</t>
        </is>
      </c>
      <c r="B151" s="150" t="inlineStr">
        <is>
          <t xml:space="preserve">Luana</t>
        </is>
      </c>
      <c r="C151" s="121" t="inlineStr">
        <is>
          <t xml:space="preserve">17 h</t>
        </is>
      </c>
      <c r="D151" s="121" t="inlineStr">
        <is>
          <t xml:space="preserve">Delivery propio</t>
        </is>
      </c>
      <c r="E151" s="83">
        <v>19500</v>
      </c>
      <c r="F151" s="147" t="inlineStr">
        <is>
          <t xml:space="preserve">POSTRES</t>
        </is>
      </c>
      <c r="G151" s="147" t="inlineStr">
        <is>
          <t xml:space="preserve">1 CROCANTINO + 1 T. COOKIE</t>
        </is>
      </c>
      <c r="H151" s="293" t="inlineStr">
        <is>
          <t xml:space="preserve">Rechazada</t>
        </is>
      </c>
      <c r="I151" s="147" t="inlineStr">
        <is>
          <t xml:space="preserve"/>
        </is>
      </c>
    </row>
    <row r="152">
      <c r="A152" s="146" t="inlineStr">
        <is>
          <t xml:space="preserve">Fiorito</t>
        </is>
      </c>
      <c r="B152" s="150" t="inlineStr">
        <is>
          <t xml:space="preserve">Luana</t>
        </is>
      </c>
      <c r="C152" s="121" t="inlineStr">
        <is>
          <t xml:space="preserve">17 h</t>
        </is>
      </c>
      <c r="D152" s="121" t="inlineStr">
        <is>
          <t xml:space="preserve">Delivery propio</t>
        </is>
      </c>
      <c r="E152" s="83">
        <v>16900</v>
      </c>
      <c r="F152" s="147" t="inlineStr">
        <is>
          <t xml:space="preserve">HELADO X  KILO</t>
        </is>
      </c>
      <c r="G152" s="147" t="inlineStr">
        <is>
          <t xml:space="preserve">1 1 KILO</t>
        </is>
      </c>
      <c r="H152" s="293" t="inlineStr">
        <is>
          <t xml:space="preserve">Rechazada</t>
        </is>
      </c>
      <c r="I152" s="147" t="inlineStr">
        <is>
          <t xml:space="preserve"/>
        </is>
      </c>
    </row>
    <row r="153">
      <c r="A153" s="146" t="inlineStr">
        <is>
          <t xml:space="preserve">Fiorito</t>
        </is>
      </c>
      <c r="B153" s="150" t="inlineStr">
        <is>
          <t xml:space="preserve">Luana</t>
        </is>
      </c>
      <c r="C153" s="121" t="inlineStr">
        <is>
          <t xml:space="preserve">18 h</t>
        </is>
      </c>
      <c r="D153" s="121" t="inlineStr">
        <is>
          <t xml:space="preserve">PedidosYa</t>
        </is>
      </c>
      <c r="E153" s="83">
        <v>23049</v>
      </c>
      <c r="F153" s="147" t="inlineStr">
        <is>
          <t xml:space="preserve">HELADO X  KILO</t>
        </is>
      </c>
      <c r="G153" s="147" t="inlineStr">
        <is>
          <t xml:space="preserve">1 1 KILO + 1 1/4  KILO + 1 ENVIO A DOMICILIO</t>
        </is>
      </c>
      <c r="H153" s="294" t="inlineStr">
        <is>
          <t xml:space="preserve">No ofrecida</t>
        </is>
      </c>
      <c r="I153" s="147" t="inlineStr">
        <is>
          <t xml:space="preserve"/>
        </is>
      </c>
    </row>
    <row r="154">
      <c r="A154" s="146" t="inlineStr">
        <is>
          <t xml:space="preserve">Fiorito</t>
        </is>
      </c>
      <c r="B154" s="150" t="inlineStr">
        <is>
          <t xml:space="preserve">Luana</t>
        </is>
      </c>
      <c r="C154" s="121" t="inlineStr">
        <is>
          <t xml:space="preserve">18 h</t>
        </is>
      </c>
      <c r="D154" s="121" t="inlineStr">
        <is>
          <t xml:space="preserve">PediGrido</t>
        </is>
      </c>
      <c r="E154" s="83">
        <v>17500</v>
      </c>
      <c r="F154" s="147" t="inlineStr">
        <is>
          <t xml:space="preserve">TORTAS</t>
        </is>
      </c>
      <c r="G154" s="147" t="inlineStr">
        <is>
          <t xml:space="preserve">1 TORTA COOKIES AND CREAM + 1 ENVIO A DOMICILIO</t>
        </is>
      </c>
      <c r="H154" s="294" t="inlineStr">
        <is>
          <t xml:space="preserve">No ofrecida</t>
        </is>
      </c>
      <c r="I154" s="147" t="inlineStr">
        <is>
          <t xml:space="preserve"/>
        </is>
      </c>
    </row>
    <row r="155">
      <c r="A155" s="146" t="inlineStr">
        <is>
          <t xml:space="preserve">Fiorito</t>
        </is>
      </c>
      <c r="B155" s="150" t="inlineStr">
        <is>
          <t xml:space="preserve">Luana</t>
        </is>
      </c>
      <c r="C155" s="121" t="inlineStr">
        <is>
          <t xml:space="preserve">18 h</t>
        </is>
      </c>
      <c r="D155" s="121" t="inlineStr">
        <is>
          <t xml:space="preserve">PediGrido</t>
        </is>
      </c>
      <c r="E155" s="83">
        <v>10000</v>
      </c>
      <c r="F155" s="147" t="inlineStr">
        <is>
          <t xml:space="preserve">HELADO X  KILO</t>
        </is>
      </c>
      <c r="G155" s="147" t="inlineStr">
        <is>
          <t xml:space="preserve">1 1/2  KILO + 1 ENVIO A DOMICILIO</t>
        </is>
      </c>
      <c r="H155" s="294" t="inlineStr">
        <is>
          <t xml:space="preserve">No ofrecida</t>
        </is>
      </c>
      <c r="I155" s="147" t="inlineStr">
        <is>
          <t xml:space="preserve"/>
        </is>
      </c>
    </row>
    <row r="156">
      <c r="A156" s="146" t="inlineStr">
        <is>
          <t xml:space="preserve">Fiorito</t>
        </is>
      </c>
      <c r="B156" s="150" t="inlineStr">
        <is>
          <t xml:space="preserve">Luana</t>
        </is>
      </c>
      <c r="C156" s="121" t="inlineStr">
        <is>
          <t xml:space="preserve">18 h</t>
        </is>
      </c>
      <c r="D156" s="121" t="inlineStr">
        <is>
          <t xml:space="preserve">Delivery propio</t>
        </is>
      </c>
      <c r="E156" s="83">
        <v>15500</v>
      </c>
      <c r="F156" s="147" t="inlineStr">
        <is>
          <t xml:space="preserve">POSTRES</t>
        </is>
      </c>
      <c r="G156" s="147" t="inlineStr">
        <is>
          <t xml:space="preserve">1 BOMBON FRUTEZZA X8U. + 1 ENVIO A DOMICILIO</t>
        </is>
      </c>
      <c r="H156" s="293" t="inlineStr">
        <is>
          <t xml:space="preserve">Rechazada</t>
        </is>
      </c>
      <c r="I156" s="147" t="inlineStr">
        <is>
          <t xml:space="preserve"/>
        </is>
      </c>
    </row>
    <row r="157">
      <c r="A157" s="146" t="inlineStr">
        <is>
          <t xml:space="preserve">Fiorito</t>
        </is>
      </c>
      <c r="B157" s="150" t="inlineStr">
        <is>
          <t xml:space="preserve">Luana</t>
        </is>
      </c>
      <c r="C157" s="121" t="inlineStr">
        <is>
          <t xml:space="preserve">19 h</t>
        </is>
      </c>
      <c r="D157" s="121" t="inlineStr">
        <is>
          <t xml:space="preserve">Delivery propio</t>
        </is>
      </c>
      <c r="E157" s="83">
        <v>6400</v>
      </c>
      <c r="F157" s="147" t="inlineStr">
        <is>
          <t xml:space="preserve">HELADO X  KILO</t>
        </is>
      </c>
      <c r="G157" s="147" t="inlineStr">
        <is>
          <t xml:space="preserve">1 1/4  KILO</t>
        </is>
      </c>
      <c r="H157" s="293" t="inlineStr">
        <is>
          <t xml:space="preserve">Rechazada</t>
        </is>
      </c>
      <c r="I157" s="147" t="inlineStr">
        <is>
          <t xml:space="preserve"/>
        </is>
      </c>
    </row>
    <row r="158">
      <c r="A158" s="146" t="inlineStr">
        <is>
          <t xml:space="preserve">Fiorito</t>
        </is>
      </c>
      <c r="B158" s="150" t="inlineStr">
        <is>
          <t xml:space="preserve">Luana</t>
        </is>
      </c>
      <c r="C158" s="121" t="inlineStr">
        <is>
          <t xml:space="preserve">19 h</t>
        </is>
      </c>
      <c r="D158" s="121" t="inlineStr">
        <is>
          <t xml:space="preserve">Delivery propio</t>
        </is>
      </c>
      <c r="E158" s="83">
        <v>12200</v>
      </c>
      <c r="F158" s="147" t="inlineStr">
        <is>
          <t xml:space="preserve">HELADO X  KILO</t>
        </is>
      </c>
      <c r="G158" s="147" t="inlineStr">
        <is>
          <t xml:space="preserve">1 1/2  KILO + 1 ENVIO A DOMICILIO</t>
        </is>
      </c>
      <c r="H158" s="293" t="inlineStr">
        <is>
          <t xml:space="preserve">Rechazada</t>
        </is>
      </c>
      <c r="I158" s="147" t="inlineStr">
        <is>
          <t xml:space="preserve"/>
        </is>
      </c>
    </row>
    <row r="159">
      <c r="A159" s="146" t="inlineStr">
        <is>
          <t xml:space="preserve">Fiorito</t>
        </is>
      </c>
      <c r="B159" s="150" t="inlineStr">
        <is>
          <t xml:space="preserve">Luana</t>
        </is>
      </c>
      <c r="C159" s="121" t="inlineStr">
        <is>
          <t xml:space="preserve">19 h</t>
        </is>
      </c>
      <c r="D159" s="121" t="inlineStr">
        <is>
          <t xml:space="preserve">Delivery propio</t>
        </is>
      </c>
      <c r="E159" s="83">
        <v>19100</v>
      </c>
      <c r="F159" s="147" t="inlineStr">
        <is>
          <t xml:space="preserve">HELADO X  KILO</t>
        </is>
      </c>
      <c r="G159" s="147" t="inlineStr">
        <is>
          <t xml:space="preserve">1 1 KILO + 1 ENVIO A DOMICILIO</t>
        </is>
      </c>
      <c r="H159" s="293" t="inlineStr">
        <is>
          <t xml:space="preserve">Rechazada</t>
        </is>
      </c>
      <c r="I159" s="147" t="inlineStr">
        <is>
          <t xml:space="preserve"/>
        </is>
      </c>
    </row>
    <row r="160">
      <c r="A160" s="146" t="inlineStr">
        <is>
          <t xml:space="preserve">Fiorito</t>
        </is>
      </c>
      <c r="B160" s="150" t="inlineStr">
        <is>
          <t xml:space="preserve">Luana</t>
        </is>
      </c>
      <c r="C160" s="121" t="inlineStr">
        <is>
          <t xml:space="preserve">19 h</t>
        </is>
      </c>
      <c r="D160" s="121" t="inlineStr">
        <is>
          <t xml:space="preserve">Delivery propio</t>
        </is>
      </c>
      <c r="E160" s="83">
        <v>16900</v>
      </c>
      <c r="F160" s="147" t="inlineStr">
        <is>
          <t xml:space="preserve">HELADO X  KILO</t>
        </is>
      </c>
      <c r="G160" s="147" t="inlineStr">
        <is>
          <t xml:space="preserve">1 1 KILO</t>
        </is>
      </c>
      <c r="H160" s="293" t="inlineStr">
        <is>
          <t xml:space="preserve">Rechazada</t>
        </is>
      </c>
      <c r="I160" s="147" t="inlineStr">
        <is>
          <t xml:space="preserve"/>
        </is>
      </c>
    </row>
    <row r="161">
      <c r="A161" s="146" t="inlineStr">
        <is>
          <t xml:space="preserve">Fiorito</t>
        </is>
      </c>
      <c r="B161" s="150" t="inlineStr">
        <is>
          <t xml:space="preserve">Luana</t>
        </is>
      </c>
      <c r="C161" s="121" t="inlineStr">
        <is>
          <t xml:space="preserve">19 h</t>
        </is>
      </c>
      <c r="D161" s="121" t="inlineStr">
        <is>
          <t xml:space="preserve">Delivery propio</t>
        </is>
      </c>
      <c r="E161" s="83">
        <v>1000</v>
      </c>
      <c r="F161" s="147" t="inlineStr">
        <is>
          <t xml:space="preserve">CUCURUCH.</t>
        </is>
      </c>
      <c r="G161" s="147" t="inlineStr">
        <is>
          <t xml:space="preserve">1 CUPS CONITO X 5 UN.</t>
        </is>
      </c>
      <c r="H161" s="294" t="inlineStr">
        <is>
          <t xml:space="preserve">No ofrecida</t>
        </is>
      </c>
      <c r="I161" s="147" t="inlineStr">
        <is>
          <t xml:space="preserve"/>
        </is>
      </c>
    </row>
    <row r="162">
      <c r="A162" s="146" t="inlineStr">
        <is>
          <t xml:space="preserve">Fiorito</t>
        </is>
      </c>
      <c r="B162" s="150" t="inlineStr">
        <is>
          <t xml:space="preserve">Luana</t>
        </is>
      </c>
      <c r="C162" s="121" t="inlineStr">
        <is>
          <t xml:space="preserve">20 h</t>
        </is>
      </c>
      <c r="D162" s="121" t="inlineStr">
        <is>
          <t xml:space="preserve">PediGrido</t>
        </is>
      </c>
      <c r="E162" s="83">
        <v>6401</v>
      </c>
      <c r="F162" s="147" t="inlineStr">
        <is>
          <t xml:space="preserve">HELADO X  KILO</t>
        </is>
      </c>
      <c r="G162" s="147" t="inlineStr">
        <is>
          <t xml:space="preserve">1 1/4  KILO + 1 1/4  KILO + 1 ENVIO A DOMICILIO + 1 DESCUENTO PEDIGRIDO</t>
        </is>
      </c>
      <c r="H162" s="294" t="inlineStr">
        <is>
          <t xml:space="preserve">No ofrecida</t>
        </is>
      </c>
      <c r="I162" s="147" t="inlineStr">
        <is>
          <t xml:space="preserve"/>
        </is>
      </c>
    </row>
    <row r="163">
      <c r="A163" s="146" t="inlineStr">
        <is>
          <t xml:space="preserve">Fiorito</t>
        </is>
      </c>
      <c r="B163" s="150" t="inlineStr">
        <is>
          <t xml:space="preserve">Luana</t>
        </is>
      </c>
      <c r="C163" s="121" t="inlineStr">
        <is>
          <t xml:space="preserve">20 h</t>
        </is>
      </c>
      <c r="D163" s="121" t="inlineStr">
        <is>
          <t xml:space="preserve">PediGrido</t>
        </is>
      </c>
      <c r="E163" s="83">
        <v>16900</v>
      </c>
      <c r="F163" s="147" t="inlineStr">
        <is>
          <t xml:space="preserve">HELADO X  KILO</t>
        </is>
      </c>
      <c r="G163" s="147" t="inlineStr">
        <is>
          <t xml:space="preserve">1 1 KILO + 1 ENVIO A DOMICILIO</t>
        </is>
      </c>
      <c r="H163" s="294" t="inlineStr">
        <is>
          <t xml:space="preserve">No ofrecida</t>
        </is>
      </c>
      <c r="I163" s="147" t="inlineStr">
        <is>
          <t xml:space="preserve"/>
        </is>
      </c>
    </row>
    <row r="164">
      <c r="A164" s="146" t="inlineStr">
        <is>
          <t xml:space="preserve">Fiorito</t>
        </is>
      </c>
      <c r="B164" s="150" t="inlineStr">
        <is>
          <t xml:space="preserve">Luana</t>
        </is>
      </c>
      <c r="C164" s="121" t="inlineStr">
        <is>
          <t xml:space="preserve">20 h</t>
        </is>
      </c>
      <c r="D164" s="121" t="inlineStr">
        <is>
          <t xml:space="preserve">PedidosYa</t>
        </is>
      </c>
      <c r="E164" s="83">
        <v>10989</v>
      </c>
      <c r="F164" s="147" t="inlineStr">
        <is>
          <t xml:space="preserve">HELADO X  KILO</t>
        </is>
      </c>
      <c r="G164" s="147" t="inlineStr">
        <is>
          <t xml:space="preserve">1 1 KILO + 1 ENVIO A DOMICILIO</t>
        </is>
      </c>
      <c r="H164" s="294" t="inlineStr">
        <is>
          <t xml:space="preserve">No ofrecida</t>
        </is>
      </c>
      <c r="I164" s="147" t="inlineStr">
        <is>
          <t xml:space="preserve"/>
        </is>
      </c>
    </row>
    <row r="165">
      <c r="A165" s="146" t="inlineStr">
        <is>
          <t xml:space="preserve">Fiorito</t>
        </is>
      </c>
      <c r="B165" s="150" t="inlineStr">
        <is>
          <t xml:space="preserve">Luana</t>
        </is>
      </c>
      <c r="C165" s="121" t="inlineStr">
        <is>
          <t xml:space="preserve">20 h</t>
        </is>
      </c>
      <c r="D165" s="121" t="inlineStr">
        <is>
          <t xml:space="preserve">Delivery propio</t>
        </is>
      </c>
      <c r="E165" s="83">
        <v>11000</v>
      </c>
      <c r="F165" s="147" t="inlineStr">
        <is>
          <t xml:space="preserve">TENTACION</t>
        </is>
      </c>
      <c r="G165" s="147" t="inlineStr">
        <is>
          <t xml:space="preserve">1 T.1 LT DDL GRANIZADO + 1 ENVIO A DOMICILIO</t>
        </is>
      </c>
      <c r="H165" s="293" t="inlineStr">
        <is>
          <t xml:space="preserve">Rechazada</t>
        </is>
      </c>
      <c r="I165" s="147" t="inlineStr">
        <is>
          <t xml:space="preserve"/>
        </is>
      </c>
    </row>
    <row r="166">
      <c r="A166" s="146" t="inlineStr">
        <is>
          <t xml:space="preserve">Fiorito</t>
        </is>
      </c>
      <c r="B166" s="150" t="inlineStr">
        <is>
          <t xml:space="preserve">Luana</t>
        </is>
      </c>
      <c r="C166" s="121" t="inlineStr">
        <is>
          <t xml:space="preserve">20 h</t>
        </is>
      </c>
      <c r="D166" s="121" t="inlineStr">
        <is>
          <t xml:space="preserve">Delivery propio</t>
        </is>
      </c>
      <c r="E166" s="83">
        <v>41000</v>
      </c>
      <c r="F166" s="147" t="inlineStr">
        <is>
          <t xml:space="preserve">FAMILIAR</t>
        </is>
      </c>
      <c r="G166" s="147" t="inlineStr">
        <is>
          <t xml:space="preserve">1 FAMNº1 (CHOCOLATE/D.LECHE/AMERICANA) + 2 PIZZA  CEBOLLA + 1 1/4  KILO + 1 ENVIO A DOMICILIO</t>
        </is>
      </c>
      <c r="H166" s="293" t="inlineStr">
        <is>
          <t xml:space="preserve">Rechazada</t>
        </is>
      </c>
      <c r="I166" s="147" t="inlineStr">
        <is>
          <t xml:space="preserve"/>
        </is>
      </c>
    </row>
    <row r="167">
      <c r="A167" s="146" t="inlineStr">
        <is>
          <t xml:space="preserve">Fiorito</t>
        </is>
      </c>
      <c r="B167" s="150" t="inlineStr">
        <is>
          <t xml:space="preserve">Luana</t>
        </is>
      </c>
      <c r="C167" s="121" t="inlineStr">
        <is>
          <t xml:space="preserve">20 h</t>
        </is>
      </c>
      <c r="D167" s="121" t="inlineStr">
        <is>
          <t xml:space="preserve">Delivery propio</t>
        </is>
      </c>
      <c r="E167" s="83">
        <v>19100</v>
      </c>
      <c r="F167" s="147" t="inlineStr">
        <is>
          <t xml:space="preserve">HELADO X  KILO</t>
        </is>
      </c>
      <c r="G167" s="147" t="inlineStr">
        <is>
          <t xml:space="preserve">1 1 KILO + 1 ENVIO A DOMICILIO</t>
        </is>
      </c>
      <c r="H167" s="293" t="inlineStr">
        <is>
          <t xml:space="preserve">Rechazada</t>
        </is>
      </c>
      <c r="I167" s="147" t="inlineStr">
        <is>
          <t xml:space="preserve"/>
        </is>
      </c>
    </row>
    <row r="168">
      <c r="A168" s="146" t="inlineStr">
        <is>
          <t xml:space="preserve">Fiorito</t>
        </is>
      </c>
      <c r="B168" s="150" t="inlineStr">
        <is>
          <t xml:space="preserve">Luana</t>
        </is>
      </c>
      <c r="C168" s="121" t="inlineStr">
        <is>
          <t xml:space="preserve">20 h</t>
        </is>
      </c>
      <c r="D168" s="121" t="inlineStr">
        <is>
          <t xml:space="preserve">Delivery propio</t>
        </is>
      </c>
      <c r="E168" s="83">
        <v>20200</v>
      </c>
      <c r="F168" s="147" t="inlineStr">
        <is>
          <t xml:space="preserve">HELADO X  KILO</t>
        </is>
      </c>
      <c r="G168" s="147" t="inlineStr">
        <is>
          <t xml:space="preserve">1 1/2  KILO + 1 ENVIO A DOMICILIO</t>
        </is>
      </c>
      <c r="H168" s="227" t="inlineStr">
        <is>
          <t xml:space="preserve">Aceptada</t>
        </is>
      </c>
      <c r="I168" s="150" t="inlineStr">
        <is>
          <t xml:space="preserve">1 1/2  KILO</t>
        </is>
      </c>
    </row>
    <row r="169">
      <c r="A169" s="146" t="inlineStr">
        <is>
          <t xml:space="preserve">Fiorito</t>
        </is>
      </c>
      <c r="B169" s="150" t="inlineStr">
        <is>
          <t xml:space="preserve">Luana</t>
        </is>
      </c>
      <c r="C169" s="121" t="inlineStr">
        <is>
          <t xml:space="preserve">20 h</t>
        </is>
      </c>
      <c r="D169" s="121" t="inlineStr">
        <is>
          <t xml:space="preserve">Delivery propio</t>
        </is>
      </c>
      <c r="E169" s="83">
        <v>19800</v>
      </c>
      <c r="F169" s="147" t="inlineStr">
        <is>
          <t xml:space="preserve">TENTACION</t>
        </is>
      </c>
      <c r="G169" s="147" t="inlineStr">
        <is>
          <t xml:space="preserve">1 T. LIMON + 1 T.DDLECHE + 1 ENVIO A DOMICILIO</t>
        </is>
      </c>
      <c r="H169" s="293" t="inlineStr">
        <is>
          <t xml:space="preserve">Rechazada</t>
        </is>
      </c>
      <c r="I169" s="147" t="inlineStr">
        <is>
          <t xml:space="preserve"/>
        </is>
      </c>
    </row>
    <row r="170">
      <c r="A170" s="146" t="inlineStr">
        <is>
          <t xml:space="preserve">Fiorito</t>
        </is>
      </c>
      <c r="B170" s="150" t="inlineStr">
        <is>
          <t xml:space="preserve">Luana</t>
        </is>
      </c>
      <c r="C170" s="121" t="inlineStr">
        <is>
          <t xml:space="preserve">21 h</t>
        </is>
      </c>
      <c r="D170" s="121" t="inlineStr">
        <is>
          <t xml:space="preserve">Delivery propio</t>
        </is>
      </c>
      <c r="E170" s="83">
        <v>19800</v>
      </c>
      <c r="F170" s="147" t="inlineStr">
        <is>
          <t xml:space="preserve">FAMILIAR</t>
        </is>
      </c>
      <c r="G170" s="147" t="inlineStr">
        <is>
          <t xml:space="preserve">1 FAMNº2 (AMERICANA/FRUTILLA/DDL GRANIZADO) + 1 ENVIO A DOMICILIO</t>
        </is>
      </c>
      <c r="H170" s="293" t="inlineStr">
        <is>
          <t xml:space="preserve">Rechazada</t>
        </is>
      </c>
      <c r="I170" s="147" t="inlineStr">
        <is>
          <t xml:space="preserve"/>
        </is>
      </c>
    </row>
    <row r="171">
      <c r="A171" s="146" t="inlineStr">
        <is>
          <t xml:space="preserve">Fiorito</t>
        </is>
      </c>
      <c r="B171" s="150" t="inlineStr">
        <is>
          <t xml:space="preserve">Luana</t>
        </is>
      </c>
      <c r="C171" s="121" t="inlineStr">
        <is>
          <t xml:space="preserve">21 h</t>
        </is>
      </c>
      <c r="D171" s="121" t="inlineStr">
        <is>
          <t xml:space="preserve">Delivery propio</t>
        </is>
      </c>
      <c r="E171" s="83">
        <v>10000</v>
      </c>
      <c r="F171" s="147" t="inlineStr">
        <is>
          <t xml:space="preserve">HELADO X  KILO</t>
        </is>
      </c>
      <c r="G171" s="147" t="inlineStr">
        <is>
          <t xml:space="preserve">1 1/2  KILO</t>
        </is>
      </c>
      <c r="H171" s="293" t="inlineStr">
        <is>
          <t xml:space="preserve">Rechazada</t>
        </is>
      </c>
      <c r="I171" s="147" t="inlineStr">
        <is>
          <t xml:space="preserve"/>
        </is>
      </c>
    </row>
    <row r="172">
      <c r="A172" s="146" t="inlineStr">
        <is>
          <t xml:space="preserve">Fiorito</t>
        </is>
      </c>
      <c r="B172" s="150" t="inlineStr">
        <is>
          <t xml:space="preserve">Luana</t>
        </is>
      </c>
      <c r="C172" s="121" t="inlineStr">
        <is>
          <t xml:space="preserve">21 h</t>
        </is>
      </c>
      <c r="D172" s="121" t="inlineStr">
        <is>
          <t xml:space="preserve">PediGrido</t>
        </is>
      </c>
      <c r="E172" s="83">
        <v>17600</v>
      </c>
      <c r="F172" s="147" t="inlineStr">
        <is>
          <t xml:space="preserve">TENTACION</t>
        </is>
      </c>
      <c r="G172" s="147" t="inlineStr">
        <is>
          <t xml:space="preserve">2 T. CHOC.ALMENDRAS + 1 ENVIO A DOMICILIO</t>
        </is>
      </c>
      <c r="H172" s="294" t="inlineStr">
        <is>
          <t xml:space="preserve">No ofrecida</t>
        </is>
      </c>
      <c r="I172" s="147" t="inlineStr">
        <is>
          <t xml:space="preserve"/>
        </is>
      </c>
    </row>
    <row r="173">
      <c r="A173" s="146" t="inlineStr">
        <is>
          <t xml:space="preserve">Fiorito</t>
        </is>
      </c>
      <c r="B173" s="150" t="inlineStr">
        <is>
          <t xml:space="preserve">Luana</t>
        </is>
      </c>
      <c r="C173" s="121" t="inlineStr">
        <is>
          <t xml:space="preserve">21 h</t>
        </is>
      </c>
      <c r="D173" s="121" t="inlineStr">
        <is>
          <t xml:space="preserve">PedidosYa</t>
        </is>
      </c>
      <c r="E173" s="83">
        <v>34379</v>
      </c>
      <c r="F173" s="147" t="inlineStr">
        <is>
          <t xml:space="preserve">HELADO X  KILO</t>
        </is>
      </c>
      <c r="G173" s="147" t="inlineStr">
        <is>
          <t xml:space="preserve">1 1 KILO + 1 1/4  KILO + 1 T. MENTA GRANIZADA + 1 ENVIO A DOMICILIO</t>
        </is>
      </c>
      <c r="H173" s="294" t="inlineStr">
        <is>
          <t xml:space="preserve">No ofrecida</t>
        </is>
      </c>
      <c r="I173" s="147" t="inlineStr">
        <is>
          <t xml:space="preserve"/>
        </is>
      </c>
    </row>
    <row r="174">
      <c r="A174" s="146" t="inlineStr">
        <is>
          <t xml:space="preserve">Fiorito</t>
        </is>
      </c>
      <c r="B174" s="150" t="inlineStr">
        <is>
          <t xml:space="preserve">Luana</t>
        </is>
      </c>
      <c r="C174" s="121" t="inlineStr">
        <is>
          <t xml:space="preserve">21 h</t>
        </is>
      </c>
      <c r="D174" s="121" t="inlineStr">
        <is>
          <t xml:space="preserve">PedidosYa</t>
        </is>
      </c>
      <c r="E174" s="83">
        <v>10989</v>
      </c>
      <c r="F174" s="147" t="inlineStr">
        <is>
          <t xml:space="preserve">HELADO X  KILO</t>
        </is>
      </c>
      <c r="G174" s="147" t="inlineStr">
        <is>
          <t xml:space="preserve">1 1 KILO + 1 ENVIO A DOMICILIO</t>
        </is>
      </c>
      <c r="H174" s="294" t="inlineStr">
        <is>
          <t xml:space="preserve">No ofrecida</t>
        </is>
      </c>
      <c r="I174" s="147" t="inlineStr">
        <is>
          <t xml:space="preserve"/>
        </is>
      </c>
    </row>
    <row r="175">
      <c r="A175" s="146" t="inlineStr">
        <is>
          <t xml:space="preserve">Fiorito</t>
        </is>
      </c>
      <c r="B175" s="150" t="inlineStr">
        <is>
          <t xml:space="preserve">Veronica</t>
        </is>
      </c>
      <c r="C175" s="121" t="inlineStr">
        <is>
          <t xml:space="preserve">14 h</t>
        </is>
      </c>
      <c r="D175" s="121" t="inlineStr">
        <is>
          <t xml:space="preserve">Delivery propio</t>
        </is>
      </c>
      <c r="E175" s="83">
        <v>10000</v>
      </c>
      <c r="F175" s="147" t="inlineStr">
        <is>
          <t xml:space="preserve">HELADO X  KILO</t>
        </is>
      </c>
      <c r="G175" s="147" t="inlineStr">
        <is>
          <t xml:space="preserve">1 1/2  KILO</t>
        </is>
      </c>
      <c r="H175" s="293" t="inlineStr">
        <is>
          <t xml:space="preserve">Rechazada</t>
        </is>
      </c>
      <c r="I175" s="147" t="inlineStr">
        <is>
          <t xml:space="preserve"/>
        </is>
      </c>
    </row>
    <row r="176">
      <c r="A176" s="146" t="inlineStr">
        <is>
          <t xml:space="preserve">Fiorito</t>
        </is>
      </c>
      <c r="B176" s="150" t="inlineStr">
        <is>
          <t xml:space="preserve">Veronica</t>
        </is>
      </c>
      <c r="C176" s="121" t="inlineStr">
        <is>
          <t xml:space="preserve">14 h</t>
        </is>
      </c>
      <c r="D176" s="121" t="inlineStr">
        <is>
          <t xml:space="preserve">Delivery propio</t>
        </is>
      </c>
      <c r="E176" s="83">
        <v>17600</v>
      </c>
      <c r="F176" s="147" t="inlineStr">
        <is>
          <t xml:space="preserve">FAMILIAR</t>
        </is>
      </c>
      <c r="G176" s="147" t="inlineStr">
        <is>
          <t xml:space="preserve">1 FAMNº2 (AMERICANA/FRUTILLA/DDL GRANIZADO)</t>
        </is>
      </c>
      <c r="H176" s="293" t="inlineStr">
        <is>
          <t xml:space="preserve">Rechazada</t>
        </is>
      </c>
      <c r="I176" s="147" t="inlineStr">
        <is>
          <t xml:space="preserve"/>
        </is>
      </c>
    </row>
    <row r="177">
      <c r="A177" s="146" t="inlineStr">
        <is>
          <t xml:space="preserve">Fiorito</t>
        </is>
      </c>
      <c r="B177" s="150" t="inlineStr">
        <is>
          <t xml:space="preserve">Veronica</t>
        </is>
      </c>
      <c r="C177" s="121" t="inlineStr">
        <is>
          <t xml:space="preserve">14 h</t>
        </is>
      </c>
      <c r="D177" s="121" t="inlineStr">
        <is>
          <t xml:space="preserve">Delivery propio</t>
        </is>
      </c>
      <c r="E177" s="83">
        <v>26900</v>
      </c>
      <c r="F177" s="147" t="inlineStr">
        <is>
          <t xml:space="preserve">HELADO X  KILO</t>
        </is>
      </c>
      <c r="G177" s="147" t="inlineStr">
        <is>
          <t xml:space="preserve">1 1 KILO + 1 1/2  KILO</t>
        </is>
      </c>
      <c r="H177" s="293" t="inlineStr">
        <is>
          <t xml:space="preserve">Rechazada</t>
        </is>
      </c>
      <c r="I177" s="147" t="inlineStr">
        <is>
          <t xml:space="preserve"/>
        </is>
      </c>
    </row>
    <row r="178">
      <c r="A178" s="146" t="inlineStr">
        <is>
          <t xml:space="preserve">Fiorito</t>
        </is>
      </c>
      <c r="B178" s="150" t="inlineStr">
        <is>
          <t xml:space="preserve">Veronica</t>
        </is>
      </c>
      <c r="C178" s="121" t="inlineStr">
        <is>
          <t xml:space="preserve">14 h</t>
        </is>
      </c>
      <c r="D178" s="121" t="inlineStr">
        <is>
          <t xml:space="preserve">Salón</t>
        </is>
      </c>
      <c r="E178" s="83">
        <v>24900</v>
      </c>
      <c r="F178" s="147" t="inlineStr">
        <is>
          <t xml:space="preserve">HELADO X  KILO</t>
        </is>
      </c>
      <c r="G178" s="147" t="inlineStr">
        <is>
          <t xml:space="preserve">1 1 KILO</t>
        </is>
      </c>
      <c r="H178" s="227" t="inlineStr">
        <is>
          <t xml:space="preserve">Aceptada</t>
        </is>
      </c>
      <c r="I178" s="150" t="inlineStr">
        <is>
          <t xml:space="preserve">1 1/2  KILO</t>
        </is>
      </c>
    </row>
    <row r="179">
      <c r="A179" s="146" t="inlineStr">
        <is>
          <t xml:space="preserve">Fiorito</t>
        </is>
      </c>
      <c r="B179" s="150" t="inlineStr">
        <is>
          <t xml:space="preserve">Veronica</t>
        </is>
      </c>
      <c r="C179" s="121" t="inlineStr">
        <is>
          <t xml:space="preserve">15 h</t>
        </is>
      </c>
      <c r="D179" s="121" t="inlineStr">
        <is>
          <t xml:space="preserve">Delivery propio</t>
        </is>
      </c>
      <c r="E179" s="83">
        <v>18000</v>
      </c>
      <c r="F179" s="147" t="inlineStr">
        <is>
          <t xml:space="preserve">HELADO X  KILO</t>
        </is>
      </c>
      <c r="G179" s="147" t="inlineStr">
        <is>
          <t xml:space="preserve">1 1/2  KILO</t>
        </is>
      </c>
      <c r="H179" s="227" t="inlineStr">
        <is>
          <t xml:space="preserve">Aceptada</t>
        </is>
      </c>
      <c r="I179" s="150" t="inlineStr">
        <is>
          <t xml:space="preserve">1 1/2  KILO</t>
        </is>
      </c>
    </row>
    <row r="180">
      <c r="A180" s="146" t="inlineStr">
        <is>
          <t xml:space="preserve">Fiorito</t>
        </is>
      </c>
      <c r="B180" s="150" t="inlineStr">
        <is>
          <t xml:space="preserve">Veronica</t>
        </is>
      </c>
      <c r="C180" s="121" t="inlineStr">
        <is>
          <t xml:space="preserve">15 h</t>
        </is>
      </c>
      <c r="D180" s="121" t="inlineStr">
        <is>
          <t xml:space="preserve">Delivery propio</t>
        </is>
      </c>
      <c r="E180" s="83">
        <v>12900</v>
      </c>
      <c r="F180" s="147" t="inlineStr">
        <is>
          <t xml:space="preserve">POSTRES</t>
        </is>
      </c>
      <c r="G180" s="147" t="inlineStr">
        <is>
          <t xml:space="preserve">1 ALMENDRADO EN CAJA X 8 + 1 ENVIO A DOMICILIO</t>
        </is>
      </c>
      <c r="H180" s="293" t="inlineStr">
        <is>
          <t xml:space="preserve">Rechazada</t>
        </is>
      </c>
      <c r="I180" s="147" t="inlineStr">
        <is>
          <t xml:space="preserve"/>
        </is>
      </c>
    </row>
    <row r="181">
      <c r="A181" s="146" t="inlineStr">
        <is>
          <t xml:space="preserve">Fiorito</t>
        </is>
      </c>
      <c r="B181" s="150" t="inlineStr">
        <is>
          <t xml:space="preserve">Veronica</t>
        </is>
      </c>
      <c r="C181" s="121" t="inlineStr">
        <is>
          <t xml:space="preserve">15 h</t>
        </is>
      </c>
      <c r="D181" s="121" t="inlineStr">
        <is>
          <t xml:space="preserve">Delivery propio</t>
        </is>
      </c>
      <c r="E181" s="83">
        <v>12200</v>
      </c>
      <c r="F181" s="147" t="inlineStr">
        <is>
          <t xml:space="preserve">HELADO X  KILO</t>
        </is>
      </c>
      <c r="G181" s="147" t="inlineStr">
        <is>
          <t xml:space="preserve">1 1/2  KILO + 1 ENVIO A DOMICILIO</t>
        </is>
      </c>
      <c r="H181" s="293" t="inlineStr">
        <is>
          <t xml:space="preserve">Rechazada</t>
        </is>
      </c>
      <c r="I181" s="147" t="inlineStr">
        <is>
          <t xml:space="preserve"/>
        </is>
      </c>
    </row>
    <row r="182">
      <c r="A182" s="146" t="inlineStr">
        <is>
          <t xml:space="preserve">Fiorito</t>
        </is>
      </c>
      <c r="B182" s="150" t="inlineStr">
        <is>
          <t xml:space="preserve">Veronica</t>
        </is>
      </c>
      <c r="C182" s="121" t="inlineStr">
        <is>
          <t xml:space="preserve">15 h</t>
        </is>
      </c>
      <c r="D182" s="121" t="inlineStr">
        <is>
          <t xml:space="preserve">Delivery propio</t>
        </is>
      </c>
      <c r="E182" s="83">
        <v>18500</v>
      </c>
      <c r="F182" s="147" t="inlineStr">
        <is>
          <t xml:space="preserve">POSTRES</t>
        </is>
      </c>
      <c r="G182" s="147" t="inlineStr">
        <is>
          <t xml:space="preserve">1 ALMENDRADO EN CAJA X 8 + 1 FRAMBUESAS DOBLE CHOCOLATE - GRIDO + 1 ENVIO A DOMICILIO</t>
        </is>
      </c>
      <c r="H182" s="293" t="inlineStr">
        <is>
          <t xml:space="preserve">Rechazada</t>
        </is>
      </c>
      <c r="I182" s="147" t="inlineStr">
        <is>
          <t xml:space="preserve"/>
        </is>
      </c>
    </row>
    <row r="183">
      <c r="A183" s="146" t="inlineStr">
        <is>
          <t xml:space="preserve">Fiorito</t>
        </is>
      </c>
      <c r="B183" s="150" t="inlineStr">
        <is>
          <t xml:space="preserve">Veronica</t>
        </is>
      </c>
      <c r="C183" s="121" t="inlineStr">
        <is>
          <t xml:space="preserve">15 h</t>
        </is>
      </c>
      <c r="D183" s="121" t="inlineStr">
        <is>
          <t xml:space="preserve">Delivery propio</t>
        </is>
      </c>
      <c r="E183" s="83">
        <v>19100</v>
      </c>
      <c r="F183" s="147" t="inlineStr">
        <is>
          <t xml:space="preserve">HELADO X  KILO</t>
        </is>
      </c>
      <c r="G183" s="147" t="inlineStr">
        <is>
          <t xml:space="preserve">1 1 KILO + 1 ENVIO A DOMICILIO</t>
        </is>
      </c>
      <c r="H183" s="293" t="inlineStr">
        <is>
          <t xml:space="preserve">Rechazada</t>
        </is>
      </c>
      <c r="I183" s="147" t="inlineStr">
        <is>
          <t xml:space="preserve"/>
        </is>
      </c>
    </row>
    <row r="184">
      <c r="A184" s="146" t="inlineStr">
        <is>
          <t xml:space="preserve">Fiorito</t>
        </is>
      </c>
      <c r="B184" s="150" t="inlineStr">
        <is>
          <t xml:space="preserve">Veronica</t>
        </is>
      </c>
      <c r="C184" s="121" t="inlineStr">
        <is>
          <t xml:space="preserve">15 h</t>
        </is>
      </c>
      <c r="D184" s="121" t="inlineStr">
        <is>
          <t xml:space="preserve">Delivery propio</t>
        </is>
      </c>
      <c r="E184" s="83">
        <v>19100</v>
      </c>
      <c r="F184" s="147" t="inlineStr">
        <is>
          <t xml:space="preserve">HELADO X  KILO</t>
        </is>
      </c>
      <c r="G184" s="147" t="inlineStr">
        <is>
          <t xml:space="preserve">1 1 KILO + 1 ENVIO A DOMICILIO</t>
        </is>
      </c>
      <c r="H184" s="293" t="inlineStr">
        <is>
          <t xml:space="preserve">Rechazada</t>
        </is>
      </c>
      <c r="I184" s="147" t="inlineStr">
        <is>
          <t xml:space="preserve"/>
        </is>
      </c>
    </row>
    <row r="185">
      <c r="A185" s="146" t="inlineStr">
        <is>
          <t xml:space="preserve">Fiorito</t>
        </is>
      </c>
      <c r="B185" s="150" t="inlineStr">
        <is>
          <t xml:space="preserve">Veronica</t>
        </is>
      </c>
      <c r="C185" s="121" t="inlineStr">
        <is>
          <t xml:space="preserve">16 h</t>
        </is>
      </c>
      <c r="D185" s="121" t="inlineStr">
        <is>
          <t xml:space="preserve">PediGrido</t>
        </is>
      </c>
      <c r="E185" s="83">
        <v>3370</v>
      </c>
      <c r="F185" s="147" t="inlineStr">
        <is>
          <t xml:space="preserve">PALITOS</t>
        </is>
      </c>
      <c r="G185" s="147" t="inlineStr">
        <is>
          <t xml:space="preserve">1 P.CREM.AMERICANA X UNIDAD + 1 P.CREM.FRUTILLA X UNIDAD + 1 PALITO FRUTAL FRUTILLA X UNIDAD + 1 PALITO BOMBON DDL X UN.</t>
        </is>
      </c>
      <c r="H185" s="294" t="inlineStr">
        <is>
          <t xml:space="preserve">No ofrecida</t>
        </is>
      </c>
      <c r="I185" s="147" t="inlineStr">
        <is>
          <t xml:space="preserve"/>
        </is>
      </c>
    </row>
    <row r="186">
      <c r="A186" s="146" t="inlineStr">
        <is>
          <t xml:space="preserve">Fiorito</t>
        </is>
      </c>
      <c r="B186" s="150" t="inlineStr">
        <is>
          <t xml:space="preserve">Veronica</t>
        </is>
      </c>
      <c r="C186" s="121" t="inlineStr">
        <is>
          <t xml:space="preserve">16 h</t>
        </is>
      </c>
      <c r="D186" s="121" t="inlineStr">
        <is>
          <t xml:space="preserve">Delivery propio</t>
        </is>
      </c>
      <c r="E186" s="83">
        <v>26400</v>
      </c>
      <c r="F186" s="147" t="inlineStr">
        <is>
          <t xml:space="preserve">FAMILIAR</t>
        </is>
      </c>
      <c r="G186" s="147" t="inlineStr">
        <is>
          <t xml:space="preserve">1 FAMNº1 (CHOCOLATE/D.LECHE/AMERICANA) + 1 FRUTILLAS DOBLE CHOCOLATE - GRIDO + 1 ENVIO A DOMICILIO + 1 CUPS CONITO X 5 UN.</t>
        </is>
      </c>
      <c r="H186" s="293" t="inlineStr">
        <is>
          <t xml:space="preserve">Rechazada</t>
        </is>
      </c>
      <c r="I186" s="147" t="inlineStr">
        <is>
          <t xml:space="preserve"/>
        </is>
      </c>
    </row>
    <row r="187">
      <c r="A187" s="146" t="inlineStr">
        <is>
          <t xml:space="preserve">Fiorito</t>
        </is>
      </c>
      <c r="B187" s="150" t="inlineStr">
        <is>
          <t xml:space="preserve">Veronica</t>
        </is>
      </c>
      <c r="C187" s="121" t="inlineStr">
        <is>
          <t xml:space="preserve">16 h</t>
        </is>
      </c>
      <c r="D187" s="121" t="inlineStr">
        <is>
          <t xml:space="preserve">Delivery propio</t>
        </is>
      </c>
      <c r="E187" s="83">
        <v>11000</v>
      </c>
      <c r="F187" s="147" t="inlineStr">
        <is>
          <t xml:space="preserve">TENTACION</t>
        </is>
      </c>
      <c r="G187" s="147" t="inlineStr">
        <is>
          <t xml:space="preserve">1 T. CHOC.ALMENDRAS + 1 ENVIO A DOMICILIO</t>
        </is>
      </c>
      <c r="H187" s="293" t="inlineStr">
        <is>
          <t xml:space="preserve">Rechazada</t>
        </is>
      </c>
      <c r="I187" s="147" t="inlineStr">
        <is>
          <t xml:space="preserve"/>
        </is>
      </c>
    </row>
    <row r="188">
      <c r="A188" s="146" t="inlineStr">
        <is>
          <t xml:space="preserve">Fiorito</t>
        </is>
      </c>
      <c r="B188" s="150" t="inlineStr">
        <is>
          <t xml:space="preserve">Veronica</t>
        </is>
      </c>
      <c r="C188" s="121" t="inlineStr">
        <is>
          <t xml:space="preserve">16 h</t>
        </is>
      </c>
      <c r="D188" s="121" t="inlineStr">
        <is>
          <t xml:space="preserve">Delivery propio</t>
        </is>
      </c>
      <c r="E188" s="83">
        <v>12500</v>
      </c>
      <c r="F188" s="147" t="inlineStr">
        <is>
          <t xml:space="preserve">TENTACION</t>
        </is>
      </c>
      <c r="G188" s="147" t="inlineStr">
        <is>
          <t xml:space="preserve">1 TODDY GALLETITAS + 1 ENVIO A DOMICILIO + 1 GRIDO TOPS - SALSA CHOCOLATE + 1 GRIDO TOPS - SALSA DULCE DE LECHE + 1 GRIDO TOPS SALSA FRUTILLA</t>
        </is>
      </c>
      <c r="H188" s="293" t="inlineStr">
        <is>
          <t xml:space="preserve">Rechazada</t>
        </is>
      </c>
      <c r="I188" s="147" t="inlineStr">
        <is>
          <t xml:space="preserve"/>
        </is>
      </c>
    </row>
    <row r="189">
      <c r="A189" s="146" t="inlineStr">
        <is>
          <t xml:space="preserve">Fiorito</t>
        </is>
      </c>
      <c r="B189" s="150" t="inlineStr">
        <is>
          <t xml:space="preserve">Veronica</t>
        </is>
      </c>
      <c r="C189" s="121" t="inlineStr">
        <is>
          <t xml:space="preserve">16 h</t>
        </is>
      </c>
      <c r="D189" s="121" t="inlineStr">
        <is>
          <t xml:space="preserve">PedidosYa</t>
        </is>
      </c>
      <c r="E189" s="83">
        <v>12239</v>
      </c>
      <c r="F189" s="147" t="inlineStr">
        <is>
          <t xml:space="preserve">HELADO X  KILO</t>
        </is>
      </c>
      <c r="G189" s="147" t="inlineStr">
        <is>
          <t xml:space="preserve">1 1/2  KILO + 1 ENVIO A DOMICILIO</t>
        </is>
      </c>
      <c r="H189" s="294" t="inlineStr">
        <is>
          <t xml:space="preserve">No ofrecida</t>
        </is>
      </c>
      <c r="I189" s="147" t="inlineStr">
        <is>
          <t xml:space="preserve"/>
        </is>
      </c>
    </row>
    <row r="190">
      <c r="A190" s="146" t="inlineStr">
        <is>
          <t xml:space="preserve">Fiorito</t>
        </is>
      </c>
      <c r="B190" s="150" t="inlineStr">
        <is>
          <t xml:space="preserve">Veronica</t>
        </is>
      </c>
      <c r="C190" s="121" t="inlineStr">
        <is>
          <t xml:space="preserve">17 h</t>
        </is>
      </c>
      <c r="D190" s="121" t="inlineStr">
        <is>
          <t xml:space="preserve">PedidosYa</t>
        </is>
      </c>
      <c r="E190" s="83">
        <v>10989</v>
      </c>
      <c r="F190" s="147" t="inlineStr">
        <is>
          <t xml:space="preserve">HELADO X  KILO</t>
        </is>
      </c>
      <c r="G190" s="147" t="inlineStr">
        <is>
          <t xml:space="preserve">1 1 KILO + 1 ENVIO A DOMICILIO</t>
        </is>
      </c>
      <c r="H190" s="294" t="inlineStr">
        <is>
          <t xml:space="preserve">No ofrecida</t>
        </is>
      </c>
      <c r="I190" s="147" t="inlineStr">
        <is>
          <t xml:space="preserve"/>
        </is>
      </c>
    </row>
    <row r="191">
      <c r="A191" s="146" t="inlineStr">
        <is>
          <t xml:space="preserve">Fiorito</t>
        </is>
      </c>
      <c r="B191" s="150" t="inlineStr">
        <is>
          <t xml:space="preserve">Veronica</t>
        </is>
      </c>
      <c r="C191" s="121" t="inlineStr">
        <is>
          <t xml:space="preserve">17 h</t>
        </is>
      </c>
      <c r="D191" s="121" t="inlineStr">
        <is>
          <t xml:space="preserve">PediGrido</t>
        </is>
      </c>
      <c r="E191" s="83">
        <v>17600</v>
      </c>
      <c r="F191" s="147" t="inlineStr">
        <is>
          <t xml:space="preserve">TENTACION</t>
        </is>
      </c>
      <c r="G191" s="147" t="inlineStr">
        <is>
          <t xml:space="preserve">1 T.1 LT DDL GRANIZADO + 1 TODDY GALLETITAS + 1 ENVIO A DOMICILIO</t>
        </is>
      </c>
      <c r="H191" s="294" t="inlineStr">
        <is>
          <t xml:space="preserve">No ofrecida</t>
        </is>
      </c>
      <c r="I191" s="147" t="inlineStr">
        <is>
          <t xml:space="preserve"/>
        </is>
      </c>
    </row>
    <row r="192">
      <c r="A192" s="146" t="inlineStr">
        <is>
          <t xml:space="preserve">Fiorito</t>
        </is>
      </c>
      <c r="B192" s="150" t="inlineStr">
        <is>
          <t xml:space="preserve">Veronica</t>
        </is>
      </c>
      <c r="C192" s="121" t="inlineStr">
        <is>
          <t xml:space="preserve">17 h</t>
        </is>
      </c>
      <c r="D192" s="121" t="inlineStr">
        <is>
          <t xml:space="preserve">PediGrido</t>
        </is>
      </c>
      <c r="E192" s="83">
        <v>17500</v>
      </c>
      <c r="F192" s="147" t="inlineStr">
        <is>
          <t xml:space="preserve">TORTAS</t>
        </is>
      </c>
      <c r="G192" s="147" t="inlineStr">
        <is>
          <t xml:space="preserve">1 TORTA COOKIES AND CREAM + 1 ENVIO A DOMICILIO</t>
        </is>
      </c>
      <c r="H192" s="294" t="inlineStr">
        <is>
          <t xml:space="preserve">No ofrecida</t>
        </is>
      </c>
      <c r="I192" s="147" t="inlineStr">
        <is>
          <t xml:space="preserve"/>
        </is>
      </c>
    </row>
    <row r="193">
      <c r="A193" s="146" t="inlineStr">
        <is>
          <t xml:space="preserve">Fiorito</t>
        </is>
      </c>
      <c r="B193" s="150" t="inlineStr">
        <is>
          <t xml:space="preserve">Veronica</t>
        </is>
      </c>
      <c r="C193" s="121" t="inlineStr">
        <is>
          <t xml:space="preserve">17 h</t>
        </is>
      </c>
      <c r="D193" s="121" t="inlineStr">
        <is>
          <t xml:space="preserve">PedidosYa</t>
        </is>
      </c>
      <c r="E193" s="83">
        <v>13439</v>
      </c>
      <c r="F193" s="147" t="inlineStr">
        <is>
          <t xml:space="preserve">POSTRES</t>
        </is>
      </c>
      <c r="G193" s="147" t="inlineStr">
        <is>
          <t xml:space="preserve">1 CROCANTINO + 1 ENVIO A DOMICILIO</t>
        </is>
      </c>
      <c r="H193" s="294" t="inlineStr">
        <is>
          <t xml:space="preserve">No ofrecida</t>
        </is>
      </c>
      <c r="I193" s="147" t="inlineStr">
        <is>
          <t xml:space="preserve"/>
        </is>
      </c>
    </row>
    <row r="194">
      <c r="A194" s="151" t="inlineStr">
        <is>
          <t xml:space="preserve">Escalada</t>
        </is>
      </c>
      <c r="B194" s="155" t="inlineStr">
        <is>
          <t xml:space="preserve">Camila</t>
        </is>
      </c>
      <c r="C194" s="127" t="inlineStr">
        <is>
          <t xml:space="preserve">12 h</t>
        </is>
      </c>
      <c r="D194" s="127" t="inlineStr">
        <is>
          <t xml:space="preserve">Salón</t>
        </is>
      </c>
      <c r="E194" s="88">
        <v>14300</v>
      </c>
      <c r="F194" s="152" t="inlineStr">
        <is>
          <t xml:space="preserve">POSTRES</t>
        </is>
      </c>
      <c r="G194" s="152" t="inlineStr">
        <is>
          <t xml:space="preserve">1 BOMBON ESCOCES EN CAJA X 8</t>
        </is>
      </c>
      <c r="H194" s="293" t="inlineStr">
        <is>
          <t xml:space="preserve">Rechazada</t>
        </is>
      </c>
      <c r="I194" s="152" t="inlineStr">
        <is>
          <t xml:space="preserve"/>
        </is>
      </c>
    </row>
    <row r="195">
      <c r="A195" s="151" t="inlineStr">
        <is>
          <t xml:space="preserve">Escalada</t>
        </is>
      </c>
      <c r="B195" s="155" t="inlineStr">
        <is>
          <t xml:space="preserve">Camila</t>
        </is>
      </c>
      <c r="C195" s="127" t="inlineStr">
        <is>
          <t xml:space="preserve">13 h</t>
        </is>
      </c>
      <c r="D195" s="127" t="inlineStr">
        <is>
          <t xml:space="preserve">Salón</t>
        </is>
      </c>
      <c r="E195" s="88">
        <v>6900</v>
      </c>
      <c r="F195" s="152" t="inlineStr">
        <is>
          <t xml:space="preserve">POSTRES</t>
        </is>
      </c>
      <c r="G195" s="152" t="inlineStr">
        <is>
          <t xml:space="preserve">2 CASATTA X UNIDAD + 1 BOMBON ESCOCES X UNIDAD + 1 P.CREM.FRUTILLA X UNIDAD</t>
        </is>
      </c>
      <c r="H195" s="293" t="inlineStr">
        <is>
          <t xml:space="preserve">Rechazada</t>
        </is>
      </c>
      <c r="I195" s="152" t="inlineStr">
        <is>
          <t xml:space="preserve"/>
        </is>
      </c>
    </row>
    <row r="196">
      <c r="A196" s="151" t="inlineStr">
        <is>
          <t xml:space="preserve">Escalada</t>
        </is>
      </c>
      <c r="B196" s="155" t="inlineStr">
        <is>
          <t xml:space="preserve">Camila</t>
        </is>
      </c>
      <c r="C196" s="127" t="inlineStr">
        <is>
          <t xml:space="preserve">13 h</t>
        </is>
      </c>
      <c r="D196" s="127" t="inlineStr">
        <is>
          <t xml:space="preserve">Salón</t>
        </is>
      </c>
      <c r="E196" s="88">
        <v>12400</v>
      </c>
      <c r="F196" s="152" t="inlineStr">
        <is>
          <t xml:space="preserve">CONGELADOS</t>
        </is>
      </c>
      <c r="G196" s="152" t="inlineStr">
        <is>
          <t xml:space="preserve">1 FRAMBUESAS DOBLE CHOCOLATE - GRIDO + 4 PALITO BOMBON X UNIDAD + 1 BOMBON ESCOCES X UNIDAD</t>
        </is>
      </c>
      <c r="H196" s="293" t="inlineStr">
        <is>
          <t xml:space="preserve">Rechazada</t>
        </is>
      </c>
      <c r="I196" s="152" t="inlineStr">
        <is>
          <t xml:space="preserve"/>
        </is>
      </c>
    </row>
    <row r="197">
      <c r="A197" s="151" t="inlineStr">
        <is>
          <t xml:space="preserve">Escalada</t>
        </is>
      </c>
      <c r="B197" s="155" t="inlineStr">
        <is>
          <t xml:space="preserve">Camila</t>
        </is>
      </c>
      <c r="C197" s="127" t="inlineStr">
        <is>
          <t xml:space="preserve">13 h</t>
        </is>
      </c>
      <c r="D197" s="127" t="inlineStr">
        <is>
          <t xml:space="preserve">Salón</t>
        </is>
      </c>
      <c r="E197" s="88">
        <v>17500</v>
      </c>
      <c r="F197" s="152" t="inlineStr">
        <is>
          <t xml:space="preserve">TORTAS</t>
        </is>
      </c>
      <c r="G197" s="152" t="inlineStr">
        <is>
          <t xml:space="preserve">1 TORTA COOKIES AND CREAM</t>
        </is>
      </c>
      <c r="H197" s="293" t="inlineStr">
        <is>
          <t xml:space="preserve">Rechazada</t>
        </is>
      </c>
      <c r="I197" s="152" t="inlineStr">
        <is>
          <t xml:space="preserve"/>
        </is>
      </c>
    </row>
    <row r="198">
      <c r="A198" s="151" t="inlineStr">
        <is>
          <t xml:space="preserve">Escalada</t>
        </is>
      </c>
      <c r="B198" s="155" t="inlineStr">
        <is>
          <t xml:space="preserve">Eliseo</t>
        </is>
      </c>
      <c r="C198" s="127" t="inlineStr">
        <is>
          <t xml:space="preserve">10 h</t>
        </is>
      </c>
      <c r="D198" s="127" t="inlineStr">
        <is>
          <t xml:space="preserve">Salón</t>
        </is>
      </c>
      <c r="E198" s="88">
        <v>26400</v>
      </c>
      <c r="F198" s="152" t="inlineStr">
        <is>
          <t xml:space="preserve">TENTACION</t>
        </is>
      </c>
      <c r="G198" s="152" t="inlineStr">
        <is>
          <t xml:space="preserve">2 T.1 LT VAINILLA + 1 T.DDLECHE</t>
        </is>
      </c>
      <c r="H198" s="293" t="inlineStr">
        <is>
          <t xml:space="preserve">Rechazada</t>
        </is>
      </c>
      <c r="I198" s="152" t="inlineStr">
        <is>
          <t xml:space="preserve"/>
        </is>
      </c>
    </row>
    <row r="199">
      <c r="A199" s="151" t="inlineStr">
        <is>
          <t xml:space="preserve">Escalada</t>
        </is>
      </c>
      <c r="B199" s="155" t="inlineStr">
        <is>
          <t xml:space="preserve">Eliseo</t>
        </is>
      </c>
      <c r="C199" s="127" t="inlineStr">
        <is>
          <t xml:space="preserve">10 h</t>
        </is>
      </c>
      <c r="D199" s="127" t="inlineStr">
        <is>
          <t xml:space="preserve">Salón</t>
        </is>
      </c>
      <c r="E199" s="88">
        <v>3300</v>
      </c>
      <c r="F199" s="152" t="inlineStr">
        <is>
          <t xml:space="preserve">CAFETERIA</t>
        </is>
      </c>
      <c r="G199" s="152" t="inlineStr">
        <is>
          <t xml:space="preserve">1 CAFÉ CON LECHE GRANDE</t>
        </is>
      </c>
      <c r="H199" s="293" t="inlineStr">
        <is>
          <t xml:space="preserve">Rechazada</t>
        </is>
      </c>
      <c r="I199" s="152" t="inlineStr">
        <is>
          <t xml:space="preserve"/>
        </is>
      </c>
    </row>
    <row r="200">
      <c r="A200" s="151" t="inlineStr">
        <is>
          <t xml:space="preserve">Escalada</t>
        </is>
      </c>
      <c r="B200" s="155" t="inlineStr">
        <is>
          <t xml:space="preserve">Eliseo</t>
        </is>
      </c>
      <c r="C200" s="127" t="inlineStr">
        <is>
          <t xml:space="preserve">11 h</t>
        </is>
      </c>
      <c r="D200" s="127" t="inlineStr">
        <is>
          <t xml:space="preserve">Salón</t>
        </is>
      </c>
      <c r="E200" s="88">
        <v>22560</v>
      </c>
      <c r="F200" s="152" t="inlineStr">
        <is>
          <t xml:space="preserve">TORTAS</t>
        </is>
      </c>
      <c r="G200" s="152" t="inlineStr">
        <is>
          <t xml:space="preserve">1 TORTA FRUTILLAS CON CREMA + 1 ALMENDRADO EN CAJA X 8</t>
        </is>
      </c>
      <c r="H200" s="293" t="inlineStr">
        <is>
          <t xml:space="preserve">Rechazada</t>
        </is>
      </c>
      <c r="I200" s="152" t="inlineStr">
        <is>
          <t xml:space="preserve"/>
        </is>
      </c>
    </row>
    <row r="201">
      <c r="A201" s="151" t="inlineStr">
        <is>
          <t xml:space="preserve">Escalada</t>
        </is>
      </c>
      <c r="B201" s="155" t="inlineStr">
        <is>
          <t xml:space="preserve">Eliseo</t>
        </is>
      </c>
      <c r="C201" s="127" t="inlineStr">
        <is>
          <t xml:space="preserve">11 h</t>
        </is>
      </c>
      <c r="D201" s="127" t="inlineStr">
        <is>
          <t xml:space="preserve">Salón</t>
        </is>
      </c>
      <c r="E201" s="88">
        <v>35000</v>
      </c>
      <c r="F201" s="152" t="inlineStr">
        <is>
          <t xml:space="preserve">TORTAS</t>
        </is>
      </c>
      <c r="G201" s="152" t="inlineStr">
        <is>
          <t xml:space="preserve">2 TORTA GRIDO RELLENA</t>
        </is>
      </c>
      <c r="H201" s="293" t="inlineStr">
        <is>
          <t xml:space="preserve">Rechazada</t>
        </is>
      </c>
      <c r="I201" s="152" t="inlineStr">
        <is>
          <t xml:space="preserve"/>
        </is>
      </c>
    </row>
    <row r="202">
      <c r="A202" s="151" t="inlineStr">
        <is>
          <t xml:space="preserve">Escalada</t>
        </is>
      </c>
      <c r="B202" s="155" t="inlineStr">
        <is>
          <t xml:space="preserve">Eliseo</t>
        </is>
      </c>
      <c r="C202" s="127" t="inlineStr">
        <is>
          <t xml:space="preserve">11 h</t>
        </is>
      </c>
      <c r="D202" s="127" t="inlineStr">
        <is>
          <t xml:space="preserve">Salón</t>
        </is>
      </c>
      <c r="E202" s="88">
        <v>6500</v>
      </c>
      <c r="F202" s="152" t="inlineStr">
        <is>
          <t xml:space="preserve">CAFETERIA</t>
        </is>
      </c>
      <c r="G202" s="152" t="inlineStr">
        <is>
          <t xml:space="preserve">1 CAFÉ ESPRESSO DOBLE GRANDE</t>
        </is>
      </c>
      <c r="H202" s="227" t="inlineStr">
        <is>
          <t xml:space="preserve">Aceptada</t>
        </is>
      </c>
      <c r="I202" s="155" t="inlineStr">
        <is>
          <t xml:space="preserve">1 TORTA COCO C/DULCE DE LECHE 120G.</t>
        </is>
      </c>
    </row>
    <row r="203">
      <c r="A203" s="151" t="inlineStr">
        <is>
          <t xml:space="preserve">Escalada</t>
        </is>
      </c>
      <c r="B203" s="155" t="inlineStr">
        <is>
          <t xml:space="preserve">Eliseo</t>
        </is>
      </c>
      <c r="C203" s="127" t="inlineStr">
        <is>
          <t xml:space="preserve">11 h</t>
        </is>
      </c>
      <c r="D203" s="127" t="inlineStr">
        <is>
          <t xml:space="preserve">Salón</t>
        </is>
      </c>
      <c r="E203" s="88">
        <v>17500</v>
      </c>
      <c r="F203" s="152" t="inlineStr">
        <is>
          <t xml:space="preserve">TORTAS</t>
        </is>
      </c>
      <c r="G203" s="152" t="inlineStr">
        <is>
          <t xml:space="preserve">1 TORTA GRIDO RELLENA</t>
        </is>
      </c>
      <c r="H203" s="293" t="inlineStr">
        <is>
          <t xml:space="preserve">Rechazada</t>
        </is>
      </c>
      <c r="I203" s="152" t="inlineStr">
        <is>
          <t xml:space="preserve"/>
        </is>
      </c>
    </row>
    <row r="204">
      <c r="A204" s="151" t="inlineStr">
        <is>
          <t xml:space="preserve">Escalada</t>
        </is>
      </c>
      <c r="B204" s="155" t="inlineStr">
        <is>
          <t xml:space="preserve">Eliseo</t>
        </is>
      </c>
      <c r="C204" s="127" t="inlineStr">
        <is>
          <t xml:space="preserve">11 h</t>
        </is>
      </c>
      <c r="D204" s="127" t="inlineStr">
        <is>
          <t xml:space="preserve">Salón</t>
        </is>
      </c>
      <c r="E204" s="88">
        <v>28000</v>
      </c>
      <c r="F204" s="152" t="inlineStr">
        <is>
          <t xml:space="preserve">TORTAS</t>
        </is>
      </c>
      <c r="G204" s="152" t="inlineStr">
        <is>
          <t xml:space="preserve">1 TORTA GRIDO RELLENA + 1 TORTA COOKIES AND CREAM</t>
        </is>
      </c>
      <c r="H204" s="293" t="inlineStr">
        <is>
          <t xml:space="preserve">Rechazada</t>
        </is>
      </c>
      <c r="I204" s="152" t="inlineStr">
        <is>
          <t xml:space="preserve"/>
        </is>
      </c>
    </row>
    <row r="205">
      <c r="A205" s="151" t="inlineStr">
        <is>
          <t xml:space="preserve">Escalada</t>
        </is>
      </c>
      <c r="B205" s="155" t="inlineStr">
        <is>
          <t xml:space="preserve">Eliseo</t>
        </is>
      </c>
      <c r="C205" s="127" t="inlineStr">
        <is>
          <t xml:space="preserve">11 h</t>
        </is>
      </c>
      <c r="D205" s="127" t="inlineStr">
        <is>
          <t xml:space="preserve">Salón</t>
        </is>
      </c>
      <c r="E205" s="88">
        <v>8450</v>
      </c>
      <c r="F205" s="152" t="inlineStr">
        <is>
          <t xml:space="preserve">HELADO X  KILO</t>
        </is>
      </c>
      <c r="G205" s="152" t="inlineStr">
        <is>
          <t xml:space="preserve">1 1 KILO</t>
        </is>
      </c>
      <c r="H205" s="294" t="inlineStr">
        <is>
          <t xml:space="preserve">No ofrecida</t>
        </is>
      </c>
      <c r="I205" s="152" t="inlineStr">
        <is>
          <t xml:space="preserve"/>
        </is>
      </c>
    </row>
    <row r="206">
      <c r="A206" s="151" t="inlineStr">
        <is>
          <t xml:space="preserve">Escalada</t>
        </is>
      </c>
      <c r="B206" s="155" t="inlineStr">
        <is>
          <t xml:space="preserve">Eliseo</t>
        </is>
      </c>
      <c r="C206" s="127" t="inlineStr">
        <is>
          <t xml:space="preserve">12 h</t>
        </is>
      </c>
      <c r="D206" s="127" t="inlineStr">
        <is>
          <t xml:space="preserve">Salón</t>
        </is>
      </c>
      <c r="E206" s="88">
        <v>14300</v>
      </c>
      <c r="F206" s="152" t="inlineStr">
        <is>
          <t xml:space="preserve">POSTRES</t>
        </is>
      </c>
      <c r="G206" s="152" t="inlineStr">
        <is>
          <t xml:space="preserve">1 BOMBON ESCOCES EN CAJA X 8</t>
        </is>
      </c>
      <c r="H206" s="293" t="inlineStr">
        <is>
          <t xml:space="preserve">Rechazada</t>
        </is>
      </c>
      <c r="I206" s="152" t="inlineStr">
        <is>
          <t xml:space="preserve"/>
        </is>
      </c>
    </row>
    <row r="207">
      <c r="A207" s="151" t="inlineStr">
        <is>
          <t xml:space="preserve">Escalada</t>
        </is>
      </c>
      <c r="B207" s="155" t="inlineStr">
        <is>
          <t xml:space="preserve">Eliseo</t>
        </is>
      </c>
      <c r="C207" s="127" t="inlineStr">
        <is>
          <t xml:space="preserve">12 h</t>
        </is>
      </c>
      <c r="D207" s="127" t="inlineStr">
        <is>
          <t xml:space="preserve">Salón</t>
        </is>
      </c>
      <c r="E207" s="88">
        <v>17800</v>
      </c>
      <c r="F207" s="152" t="inlineStr">
        <is>
          <t xml:space="preserve">PALITOS</t>
        </is>
      </c>
      <c r="G207" s="152" t="inlineStr">
        <is>
          <t xml:space="preserve">1 P.FRUT.FRUTILLA EN CAJA X 20 + 1 PALITO BOMBÓN X10 UN.</t>
        </is>
      </c>
      <c r="H207" s="293" t="inlineStr">
        <is>
          <t xml:space="preserve">Rechazada</t>
        </is>
      </c>
      <c r="I207" s="152" t="inlineStr">
        <is>
          <t xml:space="preserve"/>
        </is>
      </c>
    </row>
    <row r="208">
      <c r="A208" s="151" t="inlineStr">
        <is>
          <t xml:space="preserve">Escalada</t>
        </is>
      </c>
      <c r="B208" s="155" t="inlineStr">
        <is>
          <t xml:space="preserve">Eliseo</t>
        </is>
      </c>
      <c r="C208" s="127" t="inlineStr">
        <is>
          <t xml:space="preserve">12 h</t>
        </is>
      </c>
      <c r="D208" s="127" t="inlineStr">
        <is>
          <t xml:space="preserve">Salón</t>
        </is>
      </c>
      <c r="E208" s="88">
        <v>15600</v>
      </c>
      <c r="F208" s="152" t="inlineStr">
        <is>
          <t xml:space="preserve">HELADO X BOCHA</t>
        </is>
      </c>
      <c r="G208" s="152" t="inlineStr">
        <is>
          <t xml:space="preserve">2 GRIDOTOY 2 B. CUCU PUQUI MUCHI + 1 FRAMBUESAS DOBLE CHOCOLATE - GRIDO</t>
        </is>
      </c>
      <c r="H208" s="293" t="inlineStr">
        <is>
          <t xml:space="preserve">Rechazada</t>
        </is>
      </c>
      <c r="I208" s="152" t="inlineStr">
        <is>
          <t xml:space="preserve"/>
        </is>
      </c>
    </row>
    <row r="209">
      <c r="A209" s="151" t="inlineStr">
        <is>
          <t xml:space="preserve">Escalada</t>
        </is>
      </c>
      <c r="B209" s="155" t="inlineStr">
        <is>
          <t xml:space="preserve">Eliseo</t>
        </is>
      </c>
      <c r="C209" s="127" t="inlineStr">
        <is>
          <t xml:space="preserve">12 h</t>
        </is>
      </c>
      <c r="D209" s="127" t="inlineStr">
        <is>
          <t xml:space="preserve">Salón</t>
        </is>
      </c>
      <c r="E209" s="88">
        <v>32900</v>
      </c>
      <c r="F209" s="152" t="inlineStr">
        <is>
          <t xml:space="preserve">POSTRES</t>
        </is>
      </c>
      <c r="G209" s="152" t="inlineStr">
        <is>
          <t xml:space="preserve">1 ALFAJOR SECRETO COOKIES AND CREAM + 1 BOMBON FRUTEZZA X8U. + 1 FRUTILLAS DOBLE CHOCOLATE - GRIDO</t>
        </is>
      </c>
      <c r="H209" s="293" t="inlineStr">
        <is>
          <t xml:space="preserve">Rechazada</t>
        </is>
      </c>
      <c r="I209" s="152" t="inlineStr">
        <is>
          <t xml:space="preserve"/>
        </is>
      </c>
    </row>
    <row r="210">
      <c r="A210" s="151" t="inlineStr">
        <is>
          <t xml:space="preserve">Escalada</t>
        </is>
      </c>
      <c r="B210" s="155" t="inlineStr">
        <is>
          <t xml:space="preserve">Eliseo</t>
        </is>
      </c>
      <c r="C210" s="127" t="inlineStr">
        <is>
          <t xml:space="preserve">12 h</t>
        </is>
      </c>
      <c r="D210" s="127" t="inlineStr">
        <is>
          <t xml:space="preserve">Salón</t>
        </is>
      </c>
      <c r="E210" s="88">
        <v>17600</v>
      </c>
      <c r="F210" s="152" t="inlineStr">
        <is>
          <t xml:space="preserve">TENTACION</t>
        </is>
      </c>
      <c r="G210" s="152" t="inlineStr">
        <is>
          <t xml:space="preserve">1 T.CR.AMERICANA + 1 T.1 LT DDL GRANIZADO</t>
        </is>
      </c>
      <c r="H210" s="293" t="inlineStr">
        <is>
          <t xml:space="preserve">Rechazada</t>
        </is>
      </c>
      <c r="I210" s="152" t="inlineStr">
        <is>
          <t xml:space="preserve"/>
        </is>
      </c>
    </row>
    <row r="211">
      <c r="A211" s="151" t="inlineStr">
        <is>
          <t xml:space="preserve">Escalada</t>
        </is>
      </c>
      <c r="B211" s="155" t="inlineStr">
        <is>
          <t xml:space="preserve">Eliseo</t>
        </is>
      </c>
      <c r="C211" s="127" t="inlineStr">
        <is>
          <t xml:space="preserve">12 h</t>
        </is>
      </c>
      <c r="D211" s="127" t="inlineStr">
        <is>
          <t xml:space="preserve">Salón</t>
        </is>
      </c>
      <c r="E211" s="88">
        <v>6400</v>
      </c>
      <c r="F211" s="152" t="inlineStr">
        <is>
          <t xml:space="preserve">HELADO X  KILO</t>
        </is>
      </c>
      <c r="G211" s="152" t="inlineStr">
        <is>
          <t xml:space="preserve">1 1/4  KILO</t>
        </is>
      </c>
      <c r="H211" s="293" t="inlineStr">
        <is>
          <t xml:space="preserve">Rechazada</t>
        </is>
      </c>
      <c r="I211" s="152" t="inlineStr">
        <is>
          <t xml:space="preserve"/>
        </is>
      </c>
    </row>
    <row r="212">
      <c r="A212" s="151" t="inlineStr">
        <is>
          <t xml:space="preserve">Escalada</t>
        </is>
      </c>
      <c r="B212" s="155" t="inlineStr">
        <is>
          <t xml:space="preserve">Eliseo</t>
        </is>
      </c>
      <c r="C212" s="127" t="inlineStr">
        <is>
          <t xml:space="preserve">13 h</t>
        </is>
      </c>
      <c r="D212" s="127" t="inlineStr">
        <is>
          <t xml:space="preserve">Salón</t>
        </is>
      </c>
      <c r="E212" s="88">
        <v>1600</v>
      </c>
      <c r="F212" s="152" t="inlineStr">
        <is>
          <t xml:space="preserve">PALITOS</t>
        </is>
      </c>
      <c r="G212" s="152" t="inlineStr">
        <is>
          <t xml:space="preserve">2 PALITO FRUTAL NARANJA X UNIDAD</t>
        </is>
      </c>
      <c r="H212" s="294" t="inlineStr">
        <is>
          <t xml:space="preserve">No ofrecida</t>
        </is>
      </c>
      <c r="I212" s="152" t="inlineStr">
        <is>
          <t xml:space="preserve"/>
        </is>
      </c>
    </row>
    <row r="213">
      <c r="A213" s="151" t="inlineStr">
        <is>
          <t xml:space="preserve">Escalada</t>
        </is>
      </c>
      <c r="B213" s="155" t="inlineStr">
        <is>
          <t xml:space="preserve">Eliseo</t>
        </is>
      </c>
      <c r="C213" s="127" t="inlineStr">
        <is>
          <t xml:space="preserve">13 h</t>
        </is>
      </c>
      <c r="D213" s="127" t="inlineStr">
        <is>
          <t xml:space="preserve">Salón</t>
        </is>
      </c>
      <c r="E213" s="88">
        <v>3500</v>
      </c>
      <c r="F213" s="152" t="inlineStr">
        <is>
          <t xml:space="preserve">HELADO X BOCHA</t>
        </is>
      </c>
      <c r="G213" s="152" t="inlineStr">
        <is>
          <t xml:space="preserve">1 GIGANTE 2 BOCHAS</t>
        </is>
      </c>
      <c r="H213" s="293" t="inlineStr">
        <is>
          <t xml:space="preserve">Rechazada</t>
        </is>
      </c>
      <c r="I213" s="152" t="inlineStr">
        <is>
          <t xml:space="preserve"/>
        </is>
      </c>
    </row>
    <row r="214">
      <c r="A214" s="151" t="inlineStr">
        <is>
          <t xml:space="preserve">Escalada</t>
        </is>
      </c>
      <c r="B214" s="155" t="inlineStr">
        <is>
          <t xml:space="preserve">Eliseo</t>
        </is>
      </c>
      <c r="C214" s="127" t="inlineStr">
        <is>
          <t xml:space="preserve">14 h</t>
        </is>
      </c>
      <c r="D214" s="127" t="inlineStr">
        <is>
          <t xml:space="preserve">Salón</t>
        </is>
      </c>
      <c r="E214" s="88">
        <v>21600</v>
      </c>
      <c r="F214" s="152" t="inlineStr">
        <is>
          <t xml:space="preserve">TORTAS</t>
        </is>
      </c>
      <c r="G214" s="152" t="inlineStr">
        <is>
          <t xml:space="preserve">1 TORTA GRIDO RELLENA + 1 FRAMBUESAS DOBLE CHOCOLATE - GRIDO</t>
        </is>
      </c>
      <c r="H214" s="227" t="inlineStr">
        <is>
          <t xml:space="preserve">Aceptada</t>
        </is>
      </c>
      <c r="I214" s="155" t="inlineStr">
        <is>
          <t xml:space="preserve">1 BOMBON FRUTEZZA XU.</t>
        </is>
      </c>
    </row>
    <row r="215">
      <c r="A215" s="151" t="inlineStr">
        <is>
          <t xml:space="preserve">Escalada</t>
        </is>
      </c>
      <c r="B215" s="155" t="inlineStr">
        <is>
          <t xml:space="preserve">Eliseo</t>
        </is>
      </c>
      <c r="C215" s="127" t="inlineStr">
        <is>
          <t xml:space="preserve">14 h</t>
        </is>
      </c>
      <c r="D215" s="127" t="inlineStr">
        <is>
          <t xml:space="preserve">PedidosYa</t>
        </is>
      </c>
      <c r="E215" s="88">
        <v>28947</v>
      </c>
      <c r="F215" s="152" t="inlineStr">
        <is>
          <t xml:space="preserve">POSTRES</t>
        </is>
      </c>
      <c r="G215" s="152" t="inlineStr">
        <is>
          <t xml:space="preserve">1 BOMBON ESCOCES EN CAJA X 8 + 1 ALMENDRADO EN CAJA X 8</t>
        </is>
      </c>
      <c r="H215" s="294" t="inlineStr">
        <is>
          <t xml:space="preserve">No ofrecida</t>
        </is>
      </c>
      <c r="I215" s="152" t="inlineStr">
        <is>
          <t xml:space="preserve"/>
        </is>
      </c>
    </row>
    <row r="216">
      <c r="A216" s="151" t="inlineStr">
        <is>
          <t xml:space="preserve">Escalada</t>
        </is>
      </c>
      <c r="B216" s="155" t="inlineStr">
        <is>
          <t xml:space="preserve">Eliseo</t>
        </is>
      </c>
      <c r="C216" s="127" t="inlineStr">
        <is>
          <t xml:space="preserve">14 h</t>
        </is>
      </c>
      <c r="D216" s="127" t="inlineStr">
        <is>
          <t xml:space="preserve">PedidosYa</t>
        </is>
      </c>
      <c r="E216" s="88">
        <v>8400</v>
      </c>
      <c r="F216" s="152" t="inlineStr">
        <is>
          <t xml:space="preserve">PALITOS</t>
        </is>
      </c>
      <c r="G216" s="152" t="inlineStr">
        <is>
          <t xml:space="preserve">1 PALITO BOMBÓN DDL X 10</t>
        </is>
      </c>
      <c r="H216" s="294" t="inlineStr">
        <is>
          <t xml:space="preserve">No ofrecida</t>
        </is>
      </c>
      <c r="I216" s="152" t="inlineStr">
        <is>
          <t xml:space="preserve"/>
        </is>
      </c>
    </row>
    <row r="217">
      <c r="A217" s="151" t="inlineStr">
        <is>
          <t xml:space="preserve">Escalada</t>
        </is>
      </c>
      <c r="B217" s="155" t="inlineStr">
        <is>
          <t xml:space="preserve">Eliseo</t>
        </is>
      </c>
      <c r="C217" s="127" t="inlineStr">
        <is>
          <t xml:space="preserve">14 h</t>
        </is>
      </c>
      <c r="D217" s="127" t="inlineStr">
        <is>
          <t xml:space="preserve">Rappi</t>
        </is>
      </c>
      <c r="E217" s="88">
        <v>5100</v>
      </c>
      <c r="F217" s="152" t="inlineStr">
        <is>
          <t xml:space="preserve">PALITOS</t>
        </is>
      </c>
      <c r="G217" s="152" t="inlineStr">
        <is>
          <t xml:space="preserve">6 PALITO FRUTAL FRUTILLA X UNIDAD</t>
        </is>
      </c>
      <c r="H217" s="294" t="inlineStr">
        <is>
          <t xml:space="preserve">No ofrecida</t>
        </is>
      </c>
      <c r="I217" s="152" t="inlineStr">
        <is>
          <t xml:space="preserve"/>
        </is>
      </c>
    </row>
    <row r="218">
      <c r="A218" s="151" t="inlineStr">
        <is>
          <t xml:space="preserve">Escalada</t>
        </is>
      </c>
      <c r="B218" s="155" t="inlineStr">
        <is>
          <t xml:space="preserve">Eliseo</t>
        </is>
      </c>
      <c r="C218" s="127" t="inlineStr">
        <is>
          <t xml:space="preserve">14 h</t>
        </is>
      </c>
      <c r="D218" s="127" t="inlineStr">
        <is>
          <t xml:space="preserve">PedidosYa</t>
        </is>
      </c>
      <c r="E218" s="88">
        <v>20000</v>
      </c>
      <c r="F218" s="152" t="inlineStr">
        <is>
          <t xml:space="preserve">POSTRES</t>
        </is>
      </c>
      <c r="G218" s="152" t="inlineStr">
        <is>
          <t xml:space="preserve">1 BOMBON FRUTEZZA X8U. + 1 ALFAJOR SECRETO COOKIES AND CREAM X UN.</t>
        </is>
      </c>
      <c r="H218" s="294" t="inlineStr">
        <is>
          <t xml:space="preserve">No ofrecida</t>
        </is>
      </c>
      <c r="I218" s="152" t="inlineStr">
        <is>
          <t xml:space="preserve"/>
        </is>
      </c>
    </row>
    <row r="219">
      <c r="A219" s="151" t="inlineStr">
        <is>
          <t xml:space="preserve">Escalada</t>
        </is>
      </c>
      <c r="B219" s="155" t="inlineStr">
        <is>
          <t xml:space="preserve">Eliseo</t>
        </is>
      </c>
      <c r="C219" s="127" t="inlineStr">
        <is>
          <t xml:space="preserve">14 h</t>
        </is>
      </c>
      <c r="D219" s="127" t="inlineStr">
        <is>
          <t xml:space="preserve">Salón</t>
        </is>
      </c>
      <c r="E219" s="88">
        <v>2800</v>
      </c>
      <c r="F219" s="152" t="inlineStr">
        <is>
          <t xml:space="preserve">HELADO X BOCHA</t>
        </is>
      </c>
      <c r="G219" s="152" t="inlineStr">
        <is>
          <t xml:space="preserve">1 MINI GIGANTE</t>
        </is>
      </c>
      <c r="H219" s="293" t="inlineStr">
        <is>
          <t xml:space="preserve">Rechazada</t>
        </is>
      </c>
      <c r="I219" s="152" t="inlineStr">
        <is>
          <t xml:space="preserve"/>
        </is>
      </c>
    </row>
    <row r="220">
      <c r="A220" s="151" t="inlineStr">
        <is>
          <t xml:space="preserve">Escalada</t>
        </is>
      </c>
      <c r="B220" s="155" t="inlineStr">
        <is>
          <t xml:space="preserve">Eliseo</t>
        </is>
      </c>
      <c r="C220" s="127" t="inlineStr">
        <is>
          <t xml:space="preserve">14 h</t>
        </is>
      </c>
      <c r="D220" s="127" t="inlineStr">
        <is>
          <t xml:space="preserve">Salón</t>
        </is>
      </c>
      <c r="E220" s="88">
        <v>7000.01</v>
      </c>
      <c r="F220" s="152" t="inlineStr">
        <is>
          <t xml:space="preserve">HELADO X  KILO</t>
        </is>
      </c>
      <c r="G220" s="152" t="inlineStr">
        <is>
          <t xml:space="preserve">1 1/2  KILO + 1 DESCUENTO CUPONES</t>
        </is>
      </c>
      <c r="H220" s="293" t="inlineStr">
        <is>
          <t xml:space="preserve">Rechazada</t>
        </is>
      </c>
      <c r="I220" s="152" t="inlineStr">
        <is>
          <t xml:space="preserve"/>
        </is>
      </c>
    </row>
    <row r="221">
      <c r="A221" s="151" t="inlineStr">
        <is>
          <t xml:space="preserve">Escalada</t>
        </is>
      </c>
      <c r="B221" s="155" t="inlineStr">
        <is>
          <t xml:space="preserve">Eliseo</t>
        </is>
      </c>
      <c r="C221" s="127" t="inlineStr">
        <is>
          <t xml:space="preserve">14 h</t>
        </is>
      </c>
      <c r="D221" s="127" t="inlineStr">
        <is>
          <t xml:space="preserve">Salón</t>
        </is>
      </c>
      <c r="E221" s="88">
        <v>10000</v>
      </c>
      <c r="F221" s="152" t="inlineStr">
        <is>
          <t xml:space="preserve">HELADO X  KILO</t>
        </is>
      </c>
      <c r="G221" s="152" t="inlineStr">
        <is>
          <t xml:space="preserve">1 1/2  KILO</t>
        </is>
      </c>
      <c r="H221" s="293" t="inlineStr">
        <is>
          <t xml:space="preserve">Rechazada</t>
        </is>
      </c>
      <c r="I221" s="152" t="inlineStr">
        <is>
          <t xml:space="preserve"/>
        </is>
      </c>
    </row>
    <row r="222">
      <c r="A222" s="151" t="inlineStr">
        <is>
          <t xml:space="preserve">Escalada</t>
        </is>
      </c>
      <c r="B222" s="155" t="inlineStr">
        <is>
          <t xml:space="preserve">Eliseo</t>
        </is>
      </c>
      <c r="C222" s="127" t="inlineStr">
        <is>
          <t xml:space="preserve">15 h</t>
        </is>
      </c>
      <c r="D222" s="127" t="inlineStr">
        <is>
          <t xml:space="preserve">Salón</t>
        </is>
      </c>
      <c r="E222" s="88">
        <v>14300</v>
      </c>
      <c r="F222" s="152" t="inlineStr">
        <is>
          <t xml:space="preserve">POSTRES</t>
        </is>
      </c>
      <c r="G222" s="152" t="inlineStr">
        <is>
          <t xml:space="preserve">1 BOMBON ESCOCES EN CAJA X 8</t>
        </is>
      </c>
      <c r="H222" s="293" t="inlineStr">
        <is>
          <t xml:space="preserve">Rechazada</t>
        </is>
      </c>
      <c r="I222" s="152" t="inlineStr">
        <is>
          <t xml:space="preserve"/>
        </is>
      </c>
    </row>
    <row r="223">
      <c r="A223" s="151" t="inlineStr">
        <is>
          <t xml:space="preserve">Escalada</t>
        </is>
      </c>
      <c r="B223" s="155" t="inlineStr">
        <is>
          <t xml:space="preserve">Emiliano</t>
        </is>
      </c>
      <c r="C223" s="127" t="inlineStr">
        <is>
          <t xml:space="preserve">19 h</t>
        </is>
      </c>
      <c r="D223" s="127" t="inlineStr">
        <is>
          <t xml:space="preserve">Salón</t>
        </is>
      </c>
      <c r="E223" s="88">
        <v>3300</v>
      </c>
      <c r="F223" s="152" t="inlineStr">
        <is>
          <t xml:space="preserve">CAFETERIA</t>
        </is>
      </c>
      <c r="G223" s="152" t="inlineStr">
        <is>
          <t xml:space="preserve">1 CAFÉ CON LECHE GRANDE</t>
        </is>
      </c>
      <c r="H223" s="293" t="inlineStr">
        <is>
          <t xml:space="preserve">Rechazada</t>
        </is>
      </c>
      <c r="I223" s="152" t="inlineStr">
        <is>
          <t xml:space="preserve"/>
        </is>
      </c>
    </row>
    <row r="224">
      <c r="A224" s="151" t="inlineStr">
        <is>
          <t xml:space="preserve">Escalada</t>
        </is>
      </c>
      <c r="B224" s="155" t="inlineStr">
        <is>
          <t xml:space="preserve">Emiliano</t>
        </is>
      </c>
      <c r="C224" s="127" t="inlineStr">
        <is>
          <t xml:space="preserve">19 h</t>
        </is>
      </c>
      <c r="D224" s="127" t="inlineStr">
        <is>
          <t xml:space="preserve">PedidosYa</t>
        </is>
      </c>
      <c r="E224" s="88">
        <v>9950</v>
      </c>
      <c r="F224" s="152" t="inlineStr">
        <is>
          <t xml:space="preserve">HELADO X  KILO</t>
        </is>
      </c>
      <c r="G224" s="152" t="inlineStr">
        <is>
          <t xml:space="preserve">1 1 KILO</t>
        </is>
      </c>
      <c r="H224" s="294" t="inlineStr">
        <is>
          <t xml:space="preserve">No ofrecida</t>
        </is>
      </c>
      <c r="I224" s="152" t="inlineStr">
        <is>
          <t xml:space="preserve"/>
        </is>
      </c>
    </row>
    <row r="225">
      <c r="A225" s="151" t="inlineStr">
        <is>
          <t xml:space="preserve">Escalada</t>
        </is>
      </c>
      <c r="B225" s="155" t="inlineStr">
        <is>
          <t xml:space="preserve">Emiliano</t>
        </is>
      </c>
      <c r="C225" s="127" t="inlineStr">
        <is>
          <t xml:space="preserve">19 h</t>
        </is>
      </c>
      <c r="D225" s="127" t="inlineStr">
        <is>
          <t xml:space="preserve">Salón</t>
        </is>
      </c>
      <c r="E225" s="88">
        <v>17600</v>
      </c>
      <c r="F225" s="152" t="inlineStr">
        <is>
          <t xml:space="preserve">FAMILIAR</t>
        </is>
      </c>
      <c r="G225" s="152" t="inlineStr">
        <is>
          <t xml:space="preserve">1 FAMNº1 (CHOCOLATE/D.LECHE/AMERICANA)</t>
        </is>
      </c>
      <c r="H225" s="293" t="inlineStr">
        <is>
          <t xml:space="preserve">Rechazada</t>
        </is>
      </c>
      <c r="I225" s="152" t="inlineStr">
        <is>
          <t xml:space="preserve"/>
        </is>
      </c>
    </row>
    <row r="226">
      <c r="A226" s="151" t="inlineStr">
        <is>
          <t xml:space="preserve">Escalada</t>
        </is>
      </c>
      <c r="B226" s="155" t="inlineStr">
        <is>
          <t xml:space="preserve">Emiliano</t>
        </is>
      </c>
      <c r="C226" s="127" t="inlineStr">
        <is>
          <t xml:space="preserve">19 h</t>
        </is>
      </c>
      <c r="D226" s="127" t="inlineStr">
        <is>
          <t xml:space="preserve">PedidosYa</t>
        </is>
      </c>
      <c r="E226" s="88">
        <v>12400</v>
      </c>
      <c r="F226" s="152" t="inlineStr">
        <is>
          <t xml:space="preserve">POSTRES</t>
        </is>
      </c>
      <c r="G226" s="152" t="inlineStr">
        <is>
          <t xml:space="preserve">1 CROCANTINO</t>
        </is>
      </c>
      <c r="H226" s="294" t="inlineStr">
        <is>
          <t xml:space="preserve">No ofrecida</t>
        </is>
      </c>
      <c r="I226" s="152" t="inlineStr">
        <is>
          <t xml:space="preserve"/>
        </is>
      </c>
    </row>
    <row r="227">
      <c r="A227" s="151" t="inlineStr">
        <is>
          <t xml:space="preserve">Escalada</t>
        </is>
      </c>
      <c r="B227" s="155" t="inlineStr">
        <is>
          <t xml:space="preserve">Emiliano</t>
        </is>
      </c>
      <c r="C227" s="127" t="inlineStr">
        <is>
          <t xml:space="preserve">19 h</t>
        </is>
      </c>
      <c r="D227" s="127" t="inlineStr">
        <is>
          <t xml:space="preserve">PedidosYa</t>
        </is>
      </c>
      <c r="E227" s="88">
        <v>13930</v>
      </c>
      <c r="F227" s="152" t="inlineStr">
        <is>
          <t xml:space="preserve">HELADO X  KILO</t>
        </is>
      </c>
      <c r="G227" s="152" t="inlineStr">
        <is>
          <t xml:space="preserve">1 1 KILO</t>
        </is>
      </c>
      <c r="H227" s="294" t="inlineStr">
        <is>
          <t xml:space="preserve">No ofrecida</t>
        </is>
      </c>
      <c r="I227" s="152" t="inlineStr">
        <is>
          <t xml:space="preserve"/>
        </is>
      </c>
    </row>
    <row r="228">
      <c r="A228" s="151" t="inlineStr">
        <is>
          <t xml:space="preserve">Escalada</t>
        </is>
      </c>
      <c r="B228" s="155" t="inlineStr">
        <is>
          <t xml:space="preserve">Emiliano</t>
        </is>
      </c>
      <c r="C228" s="127" t="inlineStr">
        <is>
          <t xml:space="preserve">19 h</t>
        </is>
      </c>
      <c r="D228" s="127" t="inlineStr">
        <is>
          <t xml:space="preserve">Salón</t>
        </is>
      </c>
      <c r="E228" s="88">
        <v>10000</v>
      </c>
      <c r="F228" s="152" t="inlineStr">
        <is>
          <t xml:space="preserve">HELADO X  KILO</t>
        </is>
      </c>
      <c r="G228" s="152" t="inlineStr">
        <is>
          <t xml:space="preserve">1 1/2  KILO</t>
        </is>
      </c>
      <c r="H228" s="293" t="inlineStr">
        <is>
          <t xml:space="preserve">Rechazada</t>
        </is>
      </c>
      <c r="I228" s="152" t="inlineStr">
        <is>
          <t xml:space="preserve"/>
        </is>
      </c>
    </row>
    <row r="229">
      <c r="A229" s="151" t="inlineStr">
        <is>
          <t xml:space="preserve">Escalada</t>
        </is>
      </c>
      <c r="B229" s="155" t="inlineStr">
        <is>
          <t xml:space="preserve">Emiliano</t>
        </is>
      </c>
      <c r="C229" s="127" t="inlineStr">
        <is>
          <t xml:space="preserve">19 h</t>
        </is>
      </c>
      <c r="D229" s="127" t="inlineStr">
        <is>
          <t xml:space="preserve">Salón</t>
        </is>
      </c>
      <c r="E229" s="88">
        <v>6400</v>
      </c>
      <c r="F229" s="152" t="inlineStr">
        <is>
          <t xml:space="preserve">HELADO X  KILO</t>
        </is>
      </c>
      <c r="G229" s="152" t="inlineStr">
        <is>
          <t xml:space="preserve">1 1/4  KILO</t>
        </is>
      </c>
      <c r="H229" s="293" t="inlineStr">
        <is>
          <t xml:space="preserve">Rechazada</t>
        </is>
      </c>
      <c r="I229" s="152" t="inlineStr">
        <is>
          <t xml:space="preserve"/>
        </is>
      </c>
    </row>
    <row r="230">
      <c r="A230" s="151" t="inlineStr">
        <is>
          <t xml:space="preserve">Escalada</t>
        </is>
      </c>
      <c r="B230" s="155" t="inlineStr">
        <is>
          <t xml:space="preserve">Emiliano</t>
        </is>
      </c>
      <c r="C230" s="127" t="inlineStr">
        <is>
          <t xml:space="preserve">19 h</t>
        </is>
      </c>
      <c r="D230" s="127" t="inlineStr">
        <is>
          <t xml:space="preserve">Salón</t>
        </is>
      </c>
      <c r="E230" s="88">
        <v>5250</v>
      </c>
      <c r="F230" s="152" t="inlineStr">
        <is>
          <t xml:space="preserve">HELADO X BOCHA</t>
        </is>
      </c>
      <c r="G230" s="152" t="inlineStr">
        <is>
          <t xml:space="preserve">1 TACITA 2 BOCHAS + 1 TACITA 2 BOCHAS + 1 TACITA 2 BOCHAS</t>
        </is>
      </c>
      <c r="H230" s="294" t="inlineStr">
        <is>
          <t xml:space="preserve">No ofrecida</t>
        </is>
      </c>
      <c r="I230" s="152" t="inlineStr">
        <is>
          <t xml:space="preserve"/>
        </is>
      </c>
    </row>
    <row r="231">
      <c r="A231" s="151" t="inlineStr">
        <is>
          <t xml:space="preserve">Escalada</t>
        </is>
      </c>
      <c r="B231" s="155" t="inlineStr">
        <is>
          <t xml:space="preserve">Emiliano</t>
        </is>
      </c>
      <c r="C231" s="127" t="inlineStr">
        <is>
          <t xml:space="preserve">19 h</t>
        </is>
      </c>
      <c r="D231" s="127" t="inlineStr">
        <is>
          <t xml:space="preserve">PedidosYa</t>
        </is>
      </c>
      <c r="E231" s="88">
        <v>44500</v>
      </c>
      <c r="F231" s="152" t="inlineStr">
        <is>
          <t xml:space="preserve">TORTAS</t>
        </is>
      </c>
      <c r="G231" s="152" t="inlineStr">
        <is>
          <t xml:space="preserve">1 TORTA COOKIES AND CREAM + 1 T. LIMON + 1 1/2  KILO</t>
        </is>
      </c>
      <c r="H231" s="294" t="inlineStr">
        <is>
          <t xml:space="preserve">No ofrecida</t>
        </is>
      </c>
      <c r="I231" s="152" t="inlineStr">
        <is>
          <t xml:space="preserve"/>
        </is>
      </c>
    </row>
    <row r="232">
      <c r="A232" s="151" t="inlineStr">
        <is>
          <t xml:space="preserve">Escalada</t>
        </is>
      </c>
      <c r="B232" s="155" t="inlineStr">
        <is>
          <t xml:space="preserve">Emiliano</t>
        </is>
      </c>
      <c r="C232" s="127" t="inlineStr">
        <is>
          <t xml:space="preserve">19 h</t>
        </is>
      </c>
      <c r="D232" s="127" t="inlineStr">
        <is>
          <t xml:space="preserve">Rappi</t>
        </is>
      </c>
      <c r="E232" s="88">
        <v>13000</v>
      </c>
      <c r="F232" s="152" t="inlineStr">
        <is>
          <t xml:space="preserve">HELADO X  KILO</t>
        </is>
      </c>
      <c r="G232" s="152" t="inlineStr">
        <is>
          <t xml:space="preserve">1 1/2  KILO</t>
        </is>
      </c>
      <c r="H232" s="294" t="inlineStr">
        <is>
          <t xml:space="preserve">No ofrecida</t>
        </is>
      </c>
      <c r="I232" s="152" t="inlineStr">
        <is>
          <t xml:space="preserve"/>
        </is>
      </c>
    </row>
    <row r="233">
      <c r="A233" s="151" t="inlineStr">
        <is>
          <t xml:space="preserve">Escalada</t>
        </is>
      </c>
      <c r="B233" s="155" t="inlineStr">
        <is>
          <t xml:space="preserve">Emiliano</t>
        </is>
      </c>
      <c r="C233" s="127" t="inlineStr">
        <is>
          <t xml:space="preserve">19 h</t>
        </is>
      </c>
      <c r="D233" s="127" t="inlineStr">
        <is>
          <t xml:space="preserve">Salón</t>
        </is>
      </c>
      <c r="E233" s="88">
        <v>12800</v>
      </c>
      <c r="F233" s="152" t="inlineStr">
        <is>
          <t xml:space="preserve">HELADO X  KILO</t>
        </is>
      </c>
      <c r="G233" s="152" t="inlineStr">
        <is>
          <t xml:space="preserve">2 1/4  KILO</t>
        </is>
      </c>
      <c r="H233" s="293" t="inlineStr">
        <is>
          <t xml:space="preserve">Rechazada</t>
        </is>
      </c>
      <c r="I233" s="152" t="inlineStr">
        <is>
          <t xml:space="preserve"/>
        </is>
      </c>
    </row>
    <row r="234">
      <c r="A234" s="151" t="inlineStr">
        <is>
          <t xml:space="preserve">Escalada</t>
        </is>
      </c>
      <c r="B234" s="155" t="inlineStr">
        <is>
          <t xml:space="preserve">Emiliano</t>
        </is>
      </c>
      <c r="C234" s="127" t="inlineStr">
        <is>
          <t xml:space="preserve">19 h</t>
        </is>
      </c>
      <c r="D234" s="127" t="inlineStr">
        <is>
          <t xml:space="preserve">Salón</t>
        </is>
      </c>
      <c r="E234" s="88">
        <v>16900</v>
      </c>
      <c r="F234" s="152" t="inlineStr">
        <is>
          <t xml:space="preserve">HELADO X  KILO</t>
        </is>
      </c>
      <c r="G234" s="152" t="inlineStr">
        <is>
          <t xml:space="preserve">1 1 KILO</t>
        </is>
      </c>
      <c r="H234" s="293" t="inlineStr">
        <is>
          <t xml:space="preserve">Rechazada</t>
        </is>
      </c>
      <c r="I234" s="152" t="inlineStr">
        <is>
          <t xml:space="preserve"/>
        </is>
      </c>
    </row>
    <row r="235">
      <c r="A235" s="151" t="inlineStr">
        <is>
          <t xml:space="preserve">Escalada</t>
        </is>
      </c>
      <c r="B235" s="155" t="inlineStr">
        <is>
          <t xml:space="preserve">Emiliano</t>
        </is>
      </c>
      <c r="C235" s="127" t="inlineStr">
        <is>
          <t xml:space="preserve">19 h</t>
        </is>
      </c>
      <c r="D235" s="127" t="inlineStr">
        <is>
          <t xml:space="preserve">Salón</t>
        </is>
      </c>
      <c r="E235" s="88">
        <v>2200</v>
      </c>
      <c r="F235" s="152" t="inlineStr">
        <is>
          <t xml:space="preserve">PALITOS</t>
        </is>
      </c>
      <c r="G235" s="152" t="inlineStr">
        <is>
          <t xml:space="preserve">1 PALITO BOMBON DDL X UN. + 1 PALITO BOMBON X UNIDAD</t>
        </is>
      </c>
      <c r="H235" s="294" t="inlineStr">
        <is>
          <t xml:space="preserve">No ofrecida</t>
        </is>
      </c>
      <c r="I235" s="152" t="inlineStr">
        <is>
          <t xml:space="preserve"/>
        </is>
      </c>
    </row>
    <row r="236">
      <c r="A236" s="151" t="inlineStr">
        <is>
          <t xml:space="preserve">Escalada</t>
        </is>
      </c>
      <c r="B236" s="155" t="inlineStr">
        <is>
          <t xml:space="preserve">Emiliano</t>
        </is>
      </c>
      <c r="C236" s="127" t="inlineStr">
        <is>
          <t xml:space="preserve">20 h</t>
        </is>
      </c>
      <c r="D236" s="127" t="inlineStr">
        <is>
          <t xml:space="preserve">Salón</t>
        </is>
      </c>
      <c r="E236" s="88">
        <v>21400</v>
      </c>
      <c r="F236" s="152" t="inlineStr">
        <is>
          <t xml:space="preserve">POSTRES</t>
        </is>
      </c>
      <c r="G236" s="152" t="inlineStr">
        <is>
          <t xml:space="preserve">2 CROCANTINO</t>
        </is>
      </c>
      <c r="H236" s="293" t="inlineStr">
        <is>
          <t xml:space="preserve">Rechazada</t>
        </is>
      </c>
      <c r="I236" s="152" t="inlineStr">
        <is>
          <t xml:space="preserve"/>
        </is>
      </c>
    </row>
    <row r="237">
      <c r="A237" s="151" t="inlineStr">
        <is>
          <t xml:space="preserve">Escalada</t>
        </is>
      </c>
      <c r="B237" s="155" t="inlineStr">
        <is>
          <t xml:space="preserve">Emiliano</t>
        </is>
      </c>
      <c r="C237" s="127" t="inlineStr">
        <is>
          <t xml:space="preserve">20 h</t>
        </is>
      </c>
      <c r="D237" s="127" t="inlineStr">
        <is>
          <t xml:space="preserve">Salón</t>
        </is>
      </c>
      <c r="E237" s="88">
        <v>33800</v>
      </c>
      <c r="F237" s="152" t="inlineStr">
        <is>
          <t xml:space="preserve">HELADO X  KILO</t>
        </is>
      </c>
      <c r="G237" s="152" t="inlineStr">
        <is>
          <t xml:space="preserve">2 1 KILO</t>
        </is>
      </c>
      <c r="H237" s="293" t="inlineStr">
        <is>
          <t xml:space="preserve">Rechazada</t>
        </is>
      </c>
      <c r="I237" s="152" t="inlineStr">
        <is>
          <t xml:space="preserve"/>
        </is>
      </c>
    </row>
    <row r="238">
      <c r="A238" s="151" t="inlineStr">
        <is>
          <t xml:space="preserve">Escalada</t>
        </is>
      </c>
      <c r="B238" s="155" t="inlineStr">
        <is>
          <t xml:space="preserve">Emiliano</t>
        </is>
      </c>
      <c r="C238" s="127" t="inlineStr">
        <is>
          <t xml:space="preserve">20 h</t>
        </is>
      </c>
      <c r="D238" s="127" t="inlineStr">
        <is>
          <t xml:space="preserve">PedidosYa</t>
        </is>
      </c>
      <c r="E238" s="88">
        <v>7500</v>
      </c>
      <c r="F238" s="152" t="inlineStr">
        <is>
          <t xml:space="preserve">HELADO X  KILO</t>
        </is>
      </c>
      <c r="G238" s="152" t="inlineStr">
        <is>
          <t xml:space="preserve">1 1/4  KILO</t>
        </is>
      </c>
      <c r="H238" s="294" t="inlineStr">
        <is>
          <t xml:space="preserve">No ofrecida</t>
        </is>
      </c>
      <c r="I238" s="152" t="inlineStr">
        <is>
          <t xml:space="preserve"/>
        </is>
      </c>
    </row>
    <row r="239">
      <c r="A239" s="151" t="inlineStr">
        <is>
          <t xml:space="preserve">Escalada</t>
        </is>
      </c>
      <c r="B239" s="155" t="inlineStr">
        <is>
          <t xml:space="preserve">Emiliano</t>
        </is>
      </c>
      <c r="C239" s="127" t="inlineStr">
        <is>
          <t xml:space="preserve">20 h</t>
        </is>
      </c>
      <c r="D239" s="127" t="inlineStr">
        <is>
          <t xml:space="preserve">Salón</t>
        </is>
      </c>
      <c r="E239" s="88">
        <v>16900</v>
      </c>
      <c r="F239" s="152" t="inlineStr">
        <is>
          <t xml:space="preserve">HELADO X  KILO</t>
        </is>
      </c>
      <c r="G239" s="152" t="inlineStr">
        <is>
          <t xml:space="preserve">1 1 KILO</t>
        </is>
      </c>
      <c r="H239" s="293" t="inlineStr">
        <is>
          <t xml:space="preserve">Rechazada</t>
        </is>
      </c>
      <c r="I239" s="152" t="inlineStr">
        <is>
          <t xml:space="preserve"/>
        </is>
      </c>
    </row>
    <row r="240">
      <c r="A240" s="151" t="inlineStr">
        <is>
          <t xml:space="preserve">Escalada</t>
        </is>
      </c>
      <c r="B240" s="155" t="inlineStr">
        <is>
          <t xml:space="preserve">Emiliano</t>
        </is>
      </c>
      <c r="C240" s="127" t="inlineStr">
        <is>
          <t xml:space="preserve">20 h</t>
        </is>
      </c>
      <c r="D240" s="127" t="inlineStr">
        <is>
          <t xml:space="preserve">Salón</t>
        </is>
      </c>
      <c r="E240" s="88">
        <v>16900</v>
      </c>
      <c r="F240" s="152" t="inlineStr">
        <is>
          <t xml:space="preserve">HELADO X  KILO</t>
        </is>
      </c>
      <c r="G240" s="152" t="inlineStr">
        <is>
          <t xml:space="preserve">1 1 KILO</t>
        </is>
      </c>
      <c r="H240" s="293" t="inlineStr">
        <is>
          <t xml:space="preserve">Rechazada</t>
        </is>
      </c>
      <c r="I240" s="152" t="inlineStr">
        <is>
          <t xml:space="preserve"/>
        </is>
      </c>
    </row>
    <row r="241">
      <c r="A241" s="151" t="inlineStr">
        <is>
          <t xml:space="preserve">Escalada</t>
        </is>
      </c>
      <c r="B241" s="155" t="inlineStr">
        <is>
          <t xml:space="preserve">Emiliano</t>
        </is>
      </c>
      <c r="C241" s="127" t="inlineStr">
        <is>
          <t xml:space="preserve">20 h</t>
        </is>
      </c>
      <c r="D241" s="127" t="inlineStr">
        <is>
          <t xml:space="preserve">Salón</t>
        </is>
      </c>
      <c r="E241" s="88">
        <v>10000</v>
      </c>
      <c r="F241" s="152" t="inlineStr">
        <is>
          <t xml:space="preserve">HELADO X  KILO</t>
        </is>
      </c>
      <c r="G241" s="152" t="inlineStr">
        <is>
          <t xml:space="preserve">1 1/2  KILO</t>
        </is>
      </c>
      <c r="H241" s="293" t="inlineStr">
        <is>
          <t xml:space="preserve">Rechazada</t>
        </is>
      </c>
      <c r="I241" s="152" t="inlineStr">
        <is>
          <t xml:space="preserve"/>
        </is>
      </c>
    </row>
    <row r="242">
      <c r="A242" s="151" t="inlineStr">
        <is>
          <t xml:space="preserve">Escalada</t>
        </is>
      </c>
      <c r="B242" s="155" t="inlineStr">
        <is>
          <t xml:space="preserve">Emiliano</t>
        </is>
      </c>
      <c r="C242" s="127" t="inlineStr">
        <is>
          <t xml:space="preserve">20 h</t>
        </is>
      </c>
      <c r="D242" s="127" t="inlineStr">
        <is>
          <t xml:space="preserve">Salón</t>
        </is>
      </c>
      <c r="E242" s="88">
        <v>14000</v>
      </c>
      <c r="F242" s="152" t="inlineStr">
        <is>
          <t xml:space="preserve">POSTRES</t>
        </is>
      </c>
      <c r="G242" s="152" t="inlineStr">
        <is>
          <t xml:space="preserve">1 ALFAJOR SECRETO COOKIES AND CREAM</t>
        </is>
      </c>
      <c r="H242" s="293" t="inlineStr">
        <is>
          <t xml:space="preserve">Rechazada</t>
        </is>
      </c>
      <c r="I242" s="152" t="inlineStr">
        <is>
          <t xml:space="preserve"/>
        </is>
      </c>
    </row>
    <row r="243">
      <c r="A243" s="151" t="inlineStr">
        <is>
          <t xml:space="preserve">Escalada</t>
        </is>
      </c>
      <c r="B243" s="155" t="inlineStr">
        <is>
          <t xml:space="preserve">Emiliano</t>
        </is>
      </c>
      <c r="C243" s="127" t="inlineStr">
        <is>
          <t xml:space="preserve">20 h</t>
        </is>
      </c>
      <c r="D243" s="127" t="inlineStr">
        <is>
          <t xml:space="preserve">Salón</t>
        </is>
      </c>
      <c r="E243" s="88">
        <v>3500</v>
      </c>
      <c r="F243" s="152" t="inlineStr">
        <is>
          <t xml:space="preserve">HELADO X BOCHA</t>
        </is>
      </c>
      <c r="G243" s="152" t="inlineStr">
        <is>
          <t xml:space="preserve">1 TACITA 2 BOCHAS</t>
        </is>
      </c>
      <c r="H243" s="293" t="inlineStr">
        <is>
          <t xml:space="preserve">Rechazada</t>
        </is>
      </c>
      <c r="I243" s="152" t="inlineStr">
        <is>
          <t xml:space="preserve"/>
        </is>
      </c>
    </row>
    <row r="244">
      <c r="A244" s="151" t="inlineStr">
        <is>
          <t xml:space="preserve">Escalada</t>
        </is>
      </c>
      <c r="B244" s="155" t="inlineStr">
        <is>
          <t xml:space="preserve">Emiliano</t>
        </is>
      </c>
      <c r="C244" s="127" t="inlineStr">
        <is>
          <t xml:space="preserve">20 h</t>
        </is>
      </c>
      <c r="D244" s="127" t="inlineStr">
        <is>
          <t xml:space="preserve">Salón</t>
        </is>
      </c>
      <c r="E244" s="88">
        <v>14300</v>
      </c>
      <c r="F244" s="152" t="inlineStr">
        <is>
          <t xml:space="preserve">POSTRES</t>
        </is>
      </c>
      <c r="G244" s="152" t="inlineStr">
        <is>
          <t xml:space="preserve">1 BOMBON ESCOCES EN CAJA X 8</t>
        </is>
      </c>
      <c r="H244" s="293" t="inlineStr">
        <is>
          <t xml:space="preserve">Rechazada</t>
        </is>
      </c>
      <c r="I244" s="152" t="inlineStr">
        <is>
          <t xml:space="preserve"/>
        </is>
      </c>
    </row>
    <row r="245">
      <c r="A245" s="151" t="inlineStr">
        <is>
          <t xml:space="preserve">Escalada</t>
        </is>
      </c>
      <c r="B245" s="155" t="inlineStr">
        <is>
          <t xml:space="preserve">Emiliano</t>
        </is>
      </c>
      <c r="C245" s="127" t="inlineStr">
        <is>
          <t xml:space="preserve">20 h</t>
        </is>
      </c>
      <c r="D245" s="127" t="inlineStr">
        <is>
          <t xml:space="preserve">Salón</t>
        </is>
      </c>
      <c r="E245" s="88">
        <v>1750</v>
      </c>
      <c r="F245" s="152" t="inlineStr">
        <is>
          <t xml:space="preserve">HELADO X BOCHA</t>
        </is>
      </c>
      <c r="G245" s="152" t="inlineStr">
        <is>
          <t xml:space="preserve">1 TACITA 2 BOCHAS</t>
        </is>
      </c>
      <c r="H245" s="294" t="inlineStr">
        <is>
          <t xml:space="preserve">No ofrecida</t>
        </is>
      </c>
      <c r="I245" s="152" t="inlineStr">
        <is>
          <t xml:space="preserve"/>
        </is>
      </c>
    </row>
    <row r="246">
      <c r="A246" s="151" t="inlineStr">
        <is>
          <t xml:space="preserve">Escalada</t>
        </is>
      </c>
      <c r="B246" s="155" t="inlineStr">
        <is>
          <t xml:space="preserve">Emiliano</t>
        </is>
      </c>
      <c r="C246" s="127" t="inlineStr">
        <is>
          <t xml:space="preserve">20 h</t>
        </is>
      </c>
      <c r="D246" s="127" t="inlineStr">
        <is>
          <t xml:space="preserve">Salón</t>
        </is>
      </c>
      <c r="E246" s="88">
        <v>2400</v>
      </c>
      <c r="F246" s="152" t="inlineStr">
        <is>
          <t xml:space="preserve">POSTRES</t>
        </is>
      </c>
      <c r="G246" s="152" t="inlineStr">
        <is>
          <t xml:space="preserve">1 BOMBON ESCOCES X UNIDAD</t>
        </is>
      </c>
      <c r="H246" s="294" t="inlineStr">
        <is>
          <t xml:space="preserve">No ofrecida</t>
        </is>
      </c>
      <c r="I246" s="152" t="inlineStr">
        <is>
          <t xml:space="preserve"/>
        </is>
      </c>
    </row>
    <row r="247">
      <c r="A247" s="151" t="inlineStr">
        <is>
          <t xml:space="preserve">Escalada</t>
        </is>
      </c>
      <c r="B247" s="155" t="inlineStr">
        <is>
          <t xml:space="preserve">Emiliano</t>
        </is>
      </c>
      <c r="C247" s="127" t="inlineStr">
        <is>
          <t xml:space="preserve">20 h</t>
        </is>
      </c>
      <c r="D247" s="127" t="inlineStr">
        <is>
          <t xml:space="preserve">Salón</t>
        </is>
      </c>
      <c r="E247" s="88">
        <v>16900</v>
      </c>
      <c r="F247" s="152" t="inlineStr">
        <is>
          <t xml:space="preserve">POSTRES</t>
        </is>
      </c>
      <c r="G247" s="152" t="inlineStr">
        <is>
          <t xml:space="preserve">1 CROCANTINO + 1 HEL. "DUL. EQUI. FRUTI" 80 GR XU. + 1 HEL. "DUL. EQUI. CHOCO" 80 GR XU.</t>
        </is>
      </c>
      <c r="H247" s="293" t="inlineStr">
        <is>
          <t xml:space="preserve">Rechazada</t>
        </is>
      </c>
      <c r="I247" s="152" t="inlineStr">
        <is>
          <t xml:space="preserve"/>
        </is>
      </c>
    </row>
    <row r="248">
      <c r="A248" s="151" t="inlineStr">
        <is>
          <t xml:space="preserve">Escalada</t>
        </is>
      </c>
      <c r="B248" s="155" t="inlineStr">
        <is>
          <t xml:space="preserve">Emiliano</t>
        </is>
      </c>
      <c r="C248" s="127" t="inlineStr">
        <is>
          <t xml:space="preserve">20 h</t>
        </is>
      </c>
      <c r="D248" s="127" t="inlineStr">
        <is>
          <t xml:space="preserve">Salón</t>
        </is>
      </c>
      <c r="E248" s="88">
        <v>7300</v>
      </c>
      <c r="F248" s="152" t="inlineStr">
        <is>
          <t xml:space="preserve">PALITOS</t>
        </is>
      </c>
      <c r="G248" s="152" t="inlineStr">
        <is>
          <t xml:space="preserve">1 PALITO BOMBÓN DDL X 10</t>
        </is>
      </c>
      <c r="H248" s="293" t="inlineStr">
        <is>
          <t xml:space="preserve">Rechazada</t>
        </is>
      </c>
      <c r="I248" s="152" t="inlineStr">
        <is>
          <t xml:space="preserve"/>
        </is>
      </c>
    </row>
    <row r="249">
      <c r="A249" s="151" t="inlineStr">
        <is>
          <t xml:space="preserve">Escalada</t>
        </is>
      </c>
      <c r="B249" s="155" t="inlineStr">
        <is>
          <t xml:space="preserve">Emiliano</t>
        </is>
      </c>
      <c r="C249" s="127" t="inlineStr">
        <is>
          <t xml:space="preserve">20 h</t>
        </is>
      </c>
      <c r="D249" s="127" t="inlineStr">
        <is>
          <t xml:space="preserve">Salón</t>
        </is>
      </c>
      <c r="E249" s="88">
        <v>31200</v>
      </c>
      <c r="F249" s="152" t="inlineStr">
        <is>
          <t xml:space="preserve">CONGELADOS</t>
        </is>
      </c>
      <c r="G249" s="152" t="inlineStr">
        <is>
          <t xml:space="preserve">2 FRAMBUESAS DOBLE CHOCOLATE - GRIDO + 1 P.FRUT.FRUTILLA EN CAJA X 20 + 1 PALITO BOMBÓN X10 UN. + 2 PALITO BOMBON X UNIDAD</t>
        </is>
      </c>
      <c r="H249" s="293" t="inlineStr">
        <is>
          <t xml:space="preserve">Rechazada</t>
        </is>
      </c>
      <c r="I249" s="152" t="inlineStr">
        <is>
          <t xml:space="preserve"/>
        </is>
      </c>
    </row>
    <row r="250">
      <c r="A250" s="151" t="inlineStr">
        <is>
          <t xml:space="preserve">Escalada</t>
        </is>
      </c>
      <c r="B250" s="155" t="inlineStr">
        <is>
          <t xml:space="preserve">Emiliano</t>
        </is>
      </c>
      <c r="C250" s="127" t="inlineStr">
        <is>
          <t xml:space="preserve">20 h</t>
        </is>
      </c>
      <c r="D250" s="127" t="inlineStr">
        <is>
          <t xml:space="preserve">Salón</t>
        </is>
      </c>
      <c r="E250" s="88">
        <v>8800</v>
      </c>
      <c r="F250" s="152" t="inlineStr">
        <is>
          <t xml:space="preserve">TENTACION</t>
        </is>
      </c>
      <c r="G250" s="152" t="inlineStr">
        <is>
          <t xml:space="preserve">1 TODDY GALLETITAS</t>
        </is>
      </c>
      <c r="H250" s="293" t="inlineStr">
        <is>
          <t xml:space="preserve">Rechazada</t>
        </is>
      </c>
      <c r="I250" s="152" t="inlineStr">
        <is>
          <t xml:space="preserve"/>
        </is>
      </c>
    </row>
    <row r="251">
      <c r="A251" s="151" t="inlineStr">
        <is>
          <t xml:space="preserve">Escalada</t>
        </is>
      </c>
      <c r="B251" s="155" t="inlineStr">
        <is>
          <t xml:space="preserve">Emiliano</t>
        </is>
      </c>
      <c r="C251" s="127" t="inlineStr">
        <is>
          <t xml:space="preserve">21 h</t>
        </is>
      </c>
      <c r="D251" s="127" t="inlineStr">
        <is>
          <t xml:space="preserve">Salón</t>
        </is>
      </c>
      <c r="E251" s="88">
        <v>12000</v>
      </c>
      <c r="F251" s="152" t="inlineStr">
        <is>
          <t xml:space="preserve">FRIZZIO</t>
        </is>
      </c>
      <c r="G251" s="152" t="inlineStr">
        <is>
          <t xml:space="preserve">1 PECHUGUITA DE POLLO + 1 FRAMBUESAS DOBLE CHOCOLATE - GRIDO</t>
        </is>
      </c>
      <c r="H251" s="293" t="inlineStr">
        <is>
          <t xml:space="preserve">Rechazada</t>
        </is>
      </c>
      <c r="I251" s="152" t="inlineStr">
        <is>
          <t xml:space="preserve"/>
        </is>
      </c>
    </row>
    <row r="252">
      <c r="A252" s="151" t="inlineStr">
        <is>
          <t xml:space="preserve">Escalada</t>
        </is>
      </c>
      <c r="B252" s="155" t="inlineStr">
        <is>
          <t xml:space="preserve">Emiliano</t>
        </is>
      </c>
      <c r="C252" s="127" t="inlineStr">
        <is>
          <t xml:space="preserve">21 h</t>
        </is>
      </c>
      <c r="D252" s="127" t="inlineStr">
        <is>
          <t xml:space="preserve">Salón</t>
        </is>
      </c>
      <c r="E252" s="88">
        <v>10700</v>
      </c>
      <c r="F252" s="152" t="inlineStr">
        <is>
          <t xml:space="preserve">POSTRES</t>
        </is>
      </c>
      <c r="G252" s="152" t="inlineStr">
        <is>
          <t xml:space="preserve">1 CASATTA EN CAJA X 8</t>
        </is>
      </c>
      <c r="H252" s="293" t="inlineStr">
        <is>
          <t xml:space="preserve">Rechazada</t>
        </is>
      </c>
      <c r="I252" s="152" t="inlineStr">
        <is>
          <t xml:space="preserve"/>
        </is>
      </c>
    </row>
    <row r="253">
      <c r="A253" s="151" t="inlineStr">
        <is>
          <t xml:space="preserve">Escalada</t>
        </is>
      </c>
      <c r="B253" s="155" t="inlineStr">
        <is>
          <t xml:space="preserve">Emiliano</t>
        </is>
      </c>
      <c r="C253" s="127" t="inlineStr">
        <is>
          <t xml:space="preserve">21 h</t>
        </is>
      </c>
      <c r="D253" s="127" t="inlineStr">
        <is>
          <t xml:space="preserve">Salón</t>
        </is>
      </c>
      <c r="E253" s="88">
        <v>2200</v>
      </c>
      <c r="F253" s="152" t="inlineStr">
        <is>
          <t xml:space="preserve">PALITOS</t>
        </is>
      </c>
      <c r="G253" s="152" t="inlineStr">
        <is>
          <t xml:space="preserve">1 PALITO BOMBON DDL X UN. + 1 PALITO BOMBON X UNIDAD</t>
        </is>
      </c>
      <c r="H253" s="294" t="inlineStr">
        <is>
          <t xml:space="preserve">No ofrecida</t>
        </is>
      </c>
      <c r="I253" s="152" t="inlineStr">
        <is>
          <t xml:space="preserve"/>
        </is>
      </c>
    </row>
    <row r="254">
      <c r="A254" s="151" t="inlineStr">
        <is>
          <t xml:space="preserve">Escalada</t>
        </is>
      </c>
      <c r="B254" s="155" t="inlineStr">
        <is>
          <t xml:space="preserve">Emiliano</t>
        </is>
      </c>
      <c r="C254" s="127" t="inlineStr">
        <is>
          <t xml:space="preserve">21 h</t>
        </is>
      </c>
      <c r="D254" s="127" t="inlineStr">
        <is>
          <t xml:space="preserve">Salón</t>
        </is>
      </c>
      <c r="E254" s="88">
        <v>3300</v>
      </c>
      <c r="F254" s="152" t="inlineStr">
        <is>
          <t xml:space="preserve">CAFETERIA</t>
        </is>
      </c>
      <c r="G254" s="152" t="inlineStr">
        <is>
          <t xml:space="preserve">1 CAFÉ CON LECHE GRANDE</t>
        </is>
      </c>
      <c r="H254" s="293" t="inlineStr">
        <is>
          <t xml:space="preserve">Rechazada</t>
        </is>
      </c>
      <c r="I254" s="152" t="inlineStr">
        <is>
          <t xml:space="preserve"/>
        </is>
      </c>
    </row>
    <row r="255">
      <c r="A255" s="151" t="inlineStr">
        <is>
          <t xml:space="preserve">Escalada</t>
        </is>
      </c>
      <c r="B255" s="155" t="inlineStr">
        <is>
          <t xml:space="preserve">Emiliano</t>
        </is>
      </c>
      <c r="C255" s="127" t="inlineStr">
        <is>
          <t xml:space="preserve">21 h</t>
        </is>
      </c>
      <c r="D255" s="127" t="inlineStr">
        <is>
          <t xml:space="preserve">PedidosYa</t>
        </is>
      </c>
      <c r="E255" s="88">
        <v>12400</v>
      </c>
      <c r="F255" s="152" t="inlineStr">
        <is>
          <t xml:space="preserve">POSTRES</t>
        </is>
      </c>
      <c r="G255" s="152" t="inlineStr">
        <is>
          <t xml:space="preserve">1 CROCANTINO</t>
        </is>
      </c>
      <c r="H255" s="294" t="inlineStr">
        <is>
          <t xml:space="preserve">No ofrecida</t>
        </is>
      </c>
      <c r="I255" s="152" t="inlineStr">
        <is>
          <t xml:space="preserve"/>
        </is>
      </c>
    </row>
    <row r="256">
      <c r="A256" s="151" t="inlineStr">
        <is>
          <t xml:space="preserve">Escalada</t>
        </is>
      </c>
      <c r="B256" s="155" t="inlineStr">
        <is>
          <t xml:space="preserve">Emiliano</t>
        </is>
      </c>
      <c r="C256" s="127" t="inlineStr">
        <is>
          <t xml:space="preserve">21 h</t>
        </is>
      </c>
      <c r="D256" s="127" t="inlineStr">
        <is>
          <t xml:space="preserve">PedidosYa</t>
        </is>
      </c>
      <c r="E256" s="88">
        <v>11647</v>
      </c>
      <c r="F256" s="152" t="inlineStr">
        <is>
          <t xml:space="preserve">POSTRES</t>
        </is>
      </c>
      <c r="G256" s="152" t="inlineStr">
        <is>
          <t xml:space="preserve">1 ALMENDRADO EN CAJA X 8</t>
        </is>
      </c>
      <c r="H256" s="294" t="inlineStr">
        <is>
          <t xml:space="preserve">No ofrecida</t>
        </is>
      </c>
      <c r="I256" s="152" t="inlineStr">
        <is>
          <t xml:space="preserve"/>
        </is>
      </c>
    </row>
    <row r="257">
      <c r="A257" s="151" t="inlineStr">
        <is>
          <t xml:space="preserve">Escalada</t>
        </is>
      </c>
      <c r="B257" s="155" t="inlineStr">
        <is>
          <t xml:space="preserve">Emiliano</t>
        </is>
      </c>
      <c r="C257" s="127" t="inlineStr">
        <is>
          <t xml:space="preserve">21 h</t>
        </is>
      </c>
      <c r="D257" s="127" t="inlineStr">
        <is>
          <t xml:space="preserve">PedidosYa</t>
        </is>
      </c>
      <c r="E257" s="88">
        <v>22000</v>
      </c>
      <c r="F257" s="152" t="inlineStr">
        <is>
          <t xml:space="preserve">TORTAS</t>
        </is>
      </c>
      <c r="G257" s="152" t="inlineStr">
        <is>
          <t xml:space="preserve">1 TORTA GRIDO RELLENA</t>
        </is>
      </c>
      <c r="H257" s="294" t="inlineStr">
        <is>
          <t xml:space="preserve">No ofrecida</t>
        </is>
      </c>
      <c r="I257" s="152" t="inlineStr">
        <is>
          <t xml:space="preserve"/>
        </is>
      </c>
    </row>
    <row r="258">
      <c r="A258" s="151" t="inlineStr">
        <is>
          <t xml:space="preserve">Escalada</t>
        </is>
      </c>
      <c r="B258" s="155" t="inlineStr">
        <is>
          <t xml:space="preserve">Emiliano</t>
        </is>
      </c>
      <c r="C258" s="127" t="inlineStr">
        <is>
          <t xml:space="preserve">21 h</t>
        </is>
      </c>
      <c r="D258" s="127" t="inlineStr">
        <is>
          <t xml:space="preserve">PedidosYa</t>
        </is>
      </c>
      <c r="E258" s="88">
        <v>13930</v>
      </c>
      <c r="F258" s="152" t="inlineStr">
        <is>
          <t xml:space="preserve">HELADO X  KILO</t>
        </is>
      </c>
      <c r="G258" s="152" t="inlineStr">
        <is>
          <t xml:space="preserve">1 1 KILO</t>
        </is>
      </c>
      <c r="H258" s="294" t="inlineStr">
        <is>
          <t xml:space="preserve">No ofrecida</t>
        </is>
      </c>
      <c r="I258" s="152" t="inlineStr">
        <is>
          <t xml:space="preserve"/>
        </is>
      </c>
    </row>
    <row r="259">
      <c r="A259" s="151" t="inlineStr">
        <is>
          <t xml:space="preserve">Escalada</t>
        </is>
      </c>
      <c r="B259" s="155" t="inlineStr">
        <is>
          <t xml:space="preserve">Emiliano</t>
        </is>
      </c>
      <c r="C259" s="127" t="inlineStr">
        <is>
          <t xml:space="preserve">21 h</t>
        </is>
      </c>
      <c r="D259" s="127" t="inlineStr">
        <is>
          <t xml:space="preserve">Rappi</t>
        </is>
      </c>
      <c r="E259" s="88">
        <v>13930</v>
      </c>
      <c r="F259" s="152" t="inlineStr">
        <is>
          <t xml:space="preserve">HELADO X  KILO</t>
        </is>
      </c>
      <c r="G259" s="152" t="inlineStr">
        <is>
          <t xml:space="preserve">1 1 KILO</t>
        </is>
      </c>
      <c r="H259" s="294" t="inlineStr">
        <is>
          <t xml:space="preserve">No ofrecida</t>
        </is>
      </c>
      <c r="I259" s="152" t="inlineStr">
        <is>
          <t xml:space="preserve"/>
        </is>
      </c>
    </row>
    <row r="260">
      <c r="A260" s="151" t="inlineStr">
        <is>
          <t xml:space="preserve">Escalada</t>
        </is>
      </c>
      <c r="B260" s="155" t="inlineStr">
        <is>
          <t xml:space="preserve">Emiliano</t>
        </is>
      </c>
      <c r="C260" s="127" t="inlineStr">
        <is>
          <t xml:space="preserve">21 h</t>
        </is>
      </c>
      <c r="D260" s="127" t="inlineStr">
        <is>
          <t xml:space="preserve">Rappi</t>
        </is>
      </c>
      <c r="E260" s="88">
        <v>20145</v>
      </c>
      <c r="F260" s="152" t="inlineStr">
        <is>
          <t xml:space="preserve">FAMILIAR</t>
        </is>
      </c>
      <c r="G260" s="152" t="inlineStr">
        <is>
          <t xml:space="preserve">1 FAMNº4 (D.LECHE G/VAINILLA/CHOCOLATE)</t>
        </is>
      </c>
      <c r="H260" s="294" t="inlineStr">
        <is>
          <t xml:space="preserve">No ofrecida</t>
        </is>
      </c>
      <c r="I260" s="152" t="inlineStr">
        <is>
          <t xml:space="preserve"/>
        </is>
      </c>
    </row>
    <row r="261">
      <c r="A261" s="151" t="inlineStr">
        <is>
          <t xml:space="preserve">Escalada</t>
        </is>
      </c>
      <c r="B261" s="155" t="inlineStr">
        <is>
          <t xml:space="preserve">Emiliano</t>
        </is>
      </c>
      <c r="C261" s="127" t="inlineStr">
        <is>
          <t xml:space="preserve">21 h</t>
        </is>
      </c>
      <c r="D261" s="127" t="inlineStr">
        <is>
          <t xml:space="preserve">Rappi</t>
        </is>
      </c>
      <c r="E261" s="88">
        <v>13000</v>
      </c>
      <c r="F261" s="152" t="inlineStr">
        <is>
          <t xml:space="preserve">HELADO X  KILO</t>
        </is>
      </c>
      <c r="G261" s="152" t="inlineStr">
        <is>
          <t xml:space="preserve">1 1/2  KILO</t>
        </is>
      </c>
      <c r="H261" s="294" t="inlineStr">
        <is>
          <t xml:space="preserve">No ofrecida</t>
        </is>
      </c>
      <c r="I261" s="152" t="inlineStr">
        <is>
          <t xml:space="preserve"/>
        </is>
      </c>
    </row>
    <row r="262">
      <c r="A262" s="151" t="inlineStr">
        <is>
          <t xml:space="preserve">Escalada</t>
        </is>
      </c>
      <c r="B262" s="155" t="inlineStr">
        <is>
          <t xml:space="preserve">Emiliano</t>
        </is>
      </c>
      <c r="C262" s="127" t="inlineStr">
        <is>
          <t xml:space="preserve">21 h</t>
        </is>
      </c>
      <c r="D262" s="127" t="inlineStr">
        <is>
          <t xml:space="preserve">PedidosYa</t>
        </is>
      </c>
      <c r="E262" s="88">
        <v>8400</v>
      </c>
      <c r="F262" s="152" t="inlineStr">
        <is>
          <t xml:space="preserve">CUCURUCH.</t>
        </is>
      </c>
      <c r="G262" s="152" t="inlineStr">
        <is>
          <t xml:space="preserve">4 CUPS CLÁSICO BOCA ANCHA  X3</t>
        </is>
      </c>
      <c r="H262" s="294" t="inlineStr">
        <is>
          <t xml:space="preserve">No ofrecida</t>
        </is>
      </c>
      <c r="I262" s="152" t="inlineStr">
        <is>
          <t xml:space="preserve"/>
        </is>
      </c>
    </row>
    <row r="263">
      <c r="A263" s="151" t="inlineStr">
        <is>
          <t xml:space="preserve">Escalada</t>
        </is>
      </c>
      <c r="B263" s="155" t="inlineStr">
        <is>
          <t xml:space="preserve">Emiliano</t>
        </is>
      </c>
      <c r="C263" s="127" t="inlineStr">
        <is>
          <t xml:space="preserve">21 h</t>
        </is>
      </c>
      <c r="D263" s="127" t="inlineStr">
        <is>
          <t xml:space="preserve">PedidosYa</t>
        </is>
      </c>
      <c r="E263" s="88">
        <v>9950</v>
      </c>
      <c r="F263" s="152" t="inlineStr">
        <is>
          <t xml:space="preserve">HELADO X  KILO</t>
        </is>
      </c>
      <c r="G263" s="152" t="inlineStr">
        <is>
          <t xml:space="preserve">1 1 KILO</t>
        </is>
      </c>
      <c r="H263" s="294" t="inlineStr">
        <is>
          <t xml:space="preserve">No ofrecida</t>
        </is>
      </c>
      <c r="I263" s="152" t="inlineStr">
        <is>
          <t xml:space="preserve"/>
        </is>
      </c>
    </row>
    <row r="264">
      <c r="A264" s="151" t="inlineStr">
        <is>
          <t xml:space="preserve">Escalada</t>
        </is>
      </c>
      <c r="B264" s="155" t="inlineStr">
        <is>
          <t xml:space="preserve">Emiliano</t>
        </is>
      </c>
      <c r="C264" s="127" t="inlineStr">
        <is>
          <t xml:space="preserve">21 h</t>
        </is>
      </c>
      <c r="D264" s="127" t="inlineStr">
        <is>
          <t xml:space="preserve">PedidosYa</t>
        </is>
      </c>
      <c r="E264" s="88">
        <v>23500</v>
      </c>
      <c r="F264" s="152" t="inlineStr">
        <is>
          <t xml:space="preserve">PALITOS</t>
        </is>
      </c>
      <c r="G264" s="152" t="inlineStr">
        <is>
          <t xml:space="preserve">1 PALITO BOMBÓN DDL X 10 + 1 PALITO BOMBÓN X10 UN. + 1 PALITO CREMOSO AMERICANA X10 U.</t>
        </is>
      </c>
      <c r="H264" s="294" t="inlineStr">
        <is>
          <t xml:space="preserve">No ofrecida</t>
        </is>
      </c>
      <c r="I264" s="152" t="inlineStr">
        <is>
          <t xml:space="preserve"/>
        </is>
      </c>
    </row>
    <row r="265">
      <c r="A265" s="151" t="inlineStr">
        <is>
          <t xml:space="preserve">Escalada</t>
        </is>
      </c>
      <c r="B265" s="155" t="inlineStr">
        <is>
          <t xml:space="preserve">Emiliano</t>
        </is>
      </c>
      <c r="C265" s="127" t="inlineStr">
        <is>
          <t xml:space="preserve">22 h</t>
        </is>
      </c>
      <c r="D265" s="127" t="inlineStr">
        <is>
          <t xml:space="preserve">PedidosYa</t>
        </is>
      </c>
      <c r="E265" s="88">
        <v>9950</v>
      </c>
      <c r="F265" s="152" t="inlineStr">
        <is>
          <t xml:space="preserve">HELADO X  KILO</t>
        </is>
      </c>
      <c r="G265" s="152" t="inlineStr">
        <is>
          <t xml:space="preserve">1 1 KILO</t>
        </is>
      </c>
      <c r="H265" s="294" t="inlineStr">
        <is>
          <t xml:space="preserve">No ofrecida</t>
        </is>
      </c>
      <c r="I265" s="152" t="inlineStr">
        <is>
          <t xml:space="preserve"/>
        </is>
      </c>
    </row>
    <row r="266">
      <c r="A266" s="151" t="inlineStr">
        <is>
          <t xml:space="preserve">Escalada</t>
        </is>
      </c>
      <c r="B266" s="155" t="inlineStr">
        <is>
          <t xml:space="preserve">Emiliano</t>
        </is>
      </c>
      <c r="C266" s="127" t="inlineStr">
        <is>
          <t xml:space="preserve">22 h</t>
        </is>
      </c>
      <c r="D266" s="127" t="inlineStr">
        <is>
          <t xml:space="preserve">PedidosYa</t>
        </is>
      </c>
      <c r="E266" s="88">
        <v>8400</v>
      </c>
      <c r="F266" s="152" t="inlineStr">
        <is>
          <t xml:space="preserve">PALITOS</t>
        </is>
      </c>
      <c r="G266" s="152" t="inlineStr">
        <is>
          <t xml:space="preserve">1 PALITO BOMBÓN X10 UN.</t>
        </is>
      </c>
      <c r="H266" s="294" t="inlineStr">
        <is>
          <t xml:space="preserve">No ofrecida</t>
        </is>
      </c>
      <c r="I266" s="152" t="inlineStr">
        <is>
          <t xml:space="preserve"/>
        </is>
      </c>
    </row>
    <row r="267">
      <c r="A267" s="151" t="inlineStr">
        <is>
          <t xml:space="preserve">Escalada</t>
        </is>
      </c>
      <c r="B267" s="155" t="inlineStr">
        <is>
          <t xml:space="preserve">Emiliano</t>
        </is>
      </c>
      <c r="C267" s="127" t="inlineStr">
        <is>
          <t xml:space="preserve">22 h</t>
        </is>
      </c>
      <c r="D267" s="127" t="inlineStr">
        <is>
          <t xml:space="preserve">PedidosYa</t>
        </is>
      </c>
      <c r="E267" s="88">
        <v>12000</v>
      </c>
      <c r="F267" s="152" t="inlineStr">
        <is>
          <t xml:space="preserve">HELADO X  KILO</t>
        </is>
      </c>
      <c r="G267" s="152" t="inlineStr">
        <is>
          <t xml:space="preserve">1 1/4  KILO + 1 1/4  KILO</t>
        </is>
      </c>
      <c r="H267" s="294" t="inlineStr">
        <is>
          <t xml:space="preserve">No ofrecida</t>
        </is>
      </c>
      <c r="I267" s="152" t="inlineStr">
        <is>
          <t xml:space="preserve"/>
        </is>
      </c>
    </row>
    <row r="268">
      <c r="A268" s="151" t="inlineStr">
        <is>
          <t xml:space="preserve">Escalada</t>
        </is>
      </c>
      <c r="B268" s="155" t="inlineStr">
        <is>
          <t xml:space="preserve">Emiliano</t>
        </is>
      </c>
      <c r="C268" s="127" t="inlineStr">
        <is>
          <t xml:space="preserve">22 h</t>
        </is>
      </c>
      <c r="D268" s="127" t="inlineStr">
        <is>
          <t xml:space="preserve">Salón</t>
        </is>
      </c>
      <c r="E268" s="88">
        <v>5920</v>
      </c>
      <c r="F268" s="152" t="inlineStr">
        <is>
          <t xml:space="preserve">FRIZZIO</t>
        </is>
      </c>
      <c r="G268" s="152" t="inlineStr">
        <is>
          <t xml:space="preserve">1 PIZZA  CEBOLLA</t>
        </is>
      </c>
      <c r="H268" s="294" t="inlineStr">
        <is>
          <t xml:space="preserve">No ofrecida</t>
        </is>
      </c>
      <c r="I268" s="152" t="inlineStr">
        <is>
          <t xml:space="preserve"/>
        </is>
      </c>
    </row>
    <row r="269">
      <c r="A269" s="151" t="inlineStr">
        <is>
          <t xml:space="preserve">Escalada</t>
        </is>
      </c>
      <c r="B269" s="155" t="inlineStr">
        <is>
          <t xml:space="preserve">Emiliano</t>
        </is>
      </c>
      <c r="C269" s="127" t="inlineStr">
        <is>
          <t xml:space="preserve">22 h</t>
        </is>
      </c>
      <c r="D269" s="127" t="inlineStr">
        <is>
          <t xml:space="preserve">PedidosYa</t>
        </is>
      </c>
      <c r="E269" s="88">
        <v>14960</v>
      </c>
      <c r="F269" s="152" t="inlineStr">
        <is>
          <t xml:space="preserve">HELADO X  KILO</t>
        </is>
      </c>
      <c r="G269" s="152" t="inlineStr">
        <is>
          <t xml:space="preserve">1 1/2  KILO + 1 1/4  KILO</t>
        </is>
      </c>
      <c r="H269" s="294" t="inlineStr">
        <is>
          <t xml:space="preserve">No ofrecida</t>
        </is>
      </c>
      <c r="I269" s="152" t="inlineStr">
        <is>
          <t xml:space="preserve"/>
        </is>
      </c>
    </row>
    <row r="270">
      <c r="A270" s="151" t="inlineStr">
        <is>
          <t xml:space="preserve">Escalada</t>
        </is>
      </c>
      <c r="B270" s="155" t="inlineStr">
        <is>
          <t xml:space="preserve">Facundo</t>
        </is>
      </c>
      <c r="C270" s="127" t="inlineStr">
        <is>
          <t xml:space="preserve">00 h</t>
        </is>
      </c>
      <c r="D270" s="127" t="inlineStr">
        <is>
          <t xml:space="preserve">Salón</t>
        </is>
      </c>
      <c r="E270" s="88">
        <v>17500</v>
      </c>
      <c r="F270" s="152" t="inlineStr">
        <is>
          <t xml:space="preserve">TORTAS</t>
        </is>
      </c>
      <c r="G270" s="152" t="inlineStr">
        <is>
          <t xml:space="preserve">1 TORTA GRIDO RELLENA</t>
        </is>
      </c>
      <c r="H270" s="293" t="inlineStr">
        <is>
          <t xml:space="preserve">Rechazada</t>
        </is>
      </c>
      <c r="I270" s="152" t="inlineStr">
        <is>
          <t xml:space="preserve"/>
        </is>
      </c>
    </row>
    <row r="271">
      <c r="A271" s="151" t="inlineStr">
        <is>
          <t xml:space="preserve">Escalada</t>
        </is>
      </c>
      <c r="B271" s="155" t="inlineStr">
        <is>
          <t xml:space="preserve">Facundo</t>
        </is>
      </c>
      <c r="C271" s="127" t="inlineStr">
        <is>
          <t xml:space="preserve">00 h</t>
        </is>
      </c>
      <c r="D271" s="127" t="inlineStr">
        <is>
          <t xml:space="preserve">Salón</t>
        </is>
      </c>
      <c r="E271" s="88">
        <v>7300</v>
      </c>
      <c r="F271" s="152" t="inlineStr">
        <is>
          <t xml:space="preserve">PALITOS</t>
        </is>
      </c>
      <c r="G271" s="152" t="inlineStr">
        <is>
          <t xml:space="preserve">1 PALITO BOMBÓN X10 UN.</t>
        </is>
      </c>
      <c r="H271" s="293" t="inlineStr">
        <is>
          <t xml:space="preserve">Rechazada</t>
        </is>
      </c>
      <c r="I271" s="152" t="inlineStr">
        <is>
          <t xml:space="preserve"/>
        </is>
      </c>
    </row>
    <row r="272">
      <c r="A272" s="151" t="inlineStr">
        <is>
          <t xml:space="preserve">Escalada</t>
        </is>
      </c>
      <c r="B272" s="155" t="inlineStr">
        <is>
          <t xml:space="preserve">Facundo</t>
        </is>
      </c>
      <c r="C272" s="127" t="inlineStr">
        <is>
          <t xml:space="preserve">00 h</t>
        </is>
      </c>
      <c r="D272" s="127" t="inlineStr">
        <is>
          <t xml:space="preserve">Salón</t>
        </is>
      </c>
      <c r="E272" s="88">
        <v>3300</v>
      </c>
      <c r="F272" s="152" t="inlineStr">
        <is>
          <t xml:space="preserve">CAFETERIA</t>
        </is>
      </c>
      <c r="G272" s="152" t="inlineStr">
        <is>
          <t xml:space="preserve">1 CAFÉ CON LECHE GRANDE</t>
        </is>
      </c>
      <c r="H272" s="293" t="inlineStr">
        <is>
          <t xml:space="preserve">Rechazada</t>
        </is>
      </c>
      <c r="I272" s="152" t="inlineStr">
        <is>
          <t xml:space="preserve"/>
        </is>
      </c>
    </row>
    <row r="273">
      <c r="A273" s="151" t="inlineStr">
        <is>
          <t xml:space="preserve">Escalada</t>
        </is>
      </c>
      <c r="B273" s="155" t="inlineStr">
        <is>
          <t xml:space="preserve">Facundo</t>
        </is>
      </c>
      <c r="C273" s="127" t="inlineStr">
        <is>
          <t xml:space="preserve">01 h</t>
        </is>
      </c>
      <c r="D273" s="127" t="inlineStr">
        <is>
          <t xml:space="preserve">Salón</t>
        </is>
      </c>
      <c r="E273" s="88">
        <v>4400</v>
      </c>
      <c r="F273" s="152" t="inlineStr">
        <is>
          <t xml:space="preserve">POSTRES</t>
        </is>
      </c>
      <c r="G273" s="152" t="inlineStr">
        <is>
          <t xml:space="preserve">2 BOMBON FRUTEZZA XU.</t>
        </is>
      </c>
      <c r="H273" s="293" t="inlineStr">
        <is>
          <t xml:space="preserve">Rechazada</t>
        </is>
      </c>
      <c r="I273" s="152" t="inlineStr">
        <is>
          <t xml:space="preserve"/>
        </is>
      </c>
    </row>
    <row r="274">
      <c r="A274" s="151" t="inlineStr">
        <is>
          <t xml:space="preserve">Escalada</t>
        </is>
      </c>
      <c r="B274" s="155" t="inlineStr">
        <is>
          <t xml:space="preserve">Facundo</t>
        </is>
      </c>
      <c r="C274" s="127" t="inlineStr">
        <is>
          <t xml:space="preserve">21 h</t>
        </is>
      </c>
      <c r="D274" s="127" t="inlineStr">
        <is>
          <t xml:space="preserve">Salón</t>
        </is>
      </c>
      <c r="E274" s="88">
        <v>21900</v>
      </c>
      <c r="F274" s="152" t="inlineStr">
        <is>
          <t xml:space="preserve">HELADO X  KILO</t>
        </is>
      </c>
      <c r="G274" s="152" t="inlineStr">
        <is>
          <t xml:space="preserve">1 1 KILO</t>
        </is>
      </c>
      <c r="H274" s="227" t="inlineStr">
        <is>
          <t xml:space="preserve">Aceptada</t>
        </is>
      </c>
      <c r="I274" s="155" t="inlineStr">
        <is>
          <t xml:space="preserve">1 1/4  KILO</t>
        </is>
      </c>
    </row>
    <row r="275">
      <c r="A275" s="151" t="inlineStr">
        <is>
          <t xml:space="preserve">Escalada</t>
        </is>
      </c>
      <c r="B275" s="155" t="inlineStr">
        <is>
          <t xml:space="preserve">Facundo</t>
        </is>
      </c>
      <c r="C275" s="127" t="inlineStr">
        <is>
          <t xml:space="preserve">21 h</t>
        </is>
      </c>
      <c r="D275" s="127" t="inlineStr">
        <is>
          <t xml:space="preserve">Salón</t>
        </is>
      </c>
      <c r="E275" s="88">
        <v>10000</v>
      </c>
      <c r="F275" s="152" t="inlineStr">
        <is>
          <t xml:space="preserve">TENTACION</t>
        </is>
      </c>
      <c r="G275" s="152" t="inlineStr">
        <is>
          <t xml:space="preserve">1 T.1 LT DDL GRANIZADO + 1 CUPS BLACK X 3</t>
        </is>
      </c>
      <c r="H275" s="293" t="inlineStr">
        <is>
          <t xml:space="preserve">Rechazada</t>
        </is>
      </c>
      <c r="I275" s="152" t="inlineStr">
        <is>
          <t xml:space="preserve"/>
        </is>
      </c>
    </row>
    <row r="276">
      <c r="A276" s="151" t="inlineStr">
        <is>
          <t xml:space="preserve">Escalada</t>
        </is>
      </c>
      <c r="B276" s="155" t="inlineStr">
        <is>
          <t xml:space="preserve">Facundo</t>
        </is>
      </c>
      <c r="C276" s="127" t="inlineStr">
        <is>
          <t xml:space="preserve">22 h</t>
        </is>
      </c>
      <c r="D276" s="127" t="inlineStr">
        <is>
          <t xml:space="preserve">Salón</t>
        </is>
      </c>
      <c r="E276" s="88">
        <v>18600</v>
      </c>
      <c r="F276" s="152" t="inlineStr">
        <is>
          <t xml:space="preserve">GRIDOS</t>
        </is>
      </c>
      <c r="G276" s="152" t="inlineStr">
        <is>
          <t xml:space="preserve">2 GRIDO BATIDO</t>
        </is>
      </c>
      <c r="H276" s="227" t="inlineStr">
        <is>
          <t xml:space="preserve">Aceptada</t>
        </is>
      </c>
      <c r="I276" s="155" t="inlineStr">
        <is>
          <t xml:space="preserve">1 1/2  KILO + 1 BOMBON FRUTEZZA XU.</t>
        </is>
      </c>
    </row>
    <row r="277">
      <c r="A277" s="151" t="inlineStr">
        <is>
          <t xml:space="preserve">Escalada</t>
        </is>
      </c>
      <c r="B277" s="155" t="inlineStr">
        <is>
          <t xml:space="preserve">Facundo</t>
        </is>
      </c>
      <c r="C277" s="127" t="inlineStr">
        <is>
          <t xml:space="preserve">22 h</t>
        </is>
      </c>
      <c r="D277" s="127" t="inlineStr">
        <is>
          <t xml:space="preserve">Salón</t>
        </is>
      </c>
      <c r="E277" s="88">
        <v>11200</v>
      </c>
      <c r="F277" s="152" t="inlineStr">
        <is>
          <t xml:space="preserve">CONGELADOS</t>
        </is>
      </c>
      <c r="G277" s="152" t="inlineStr">
        <is>
          <t xml:space="preserve">2 FRAMBUESAS DOBLE CHOCOLATE - GRIDO</t>
        </is>
      </c>
      <c r="H277" s="293" t="inlineStr">
        <is>
          <t xml:space="preserve">Rechazada</t>
        </is>
      </c>
      <c r="I277" s="152" t="inlineStr">
        <is>
          <t xml:space="preserve"/>
        </is>
      </c>
    </row>
    <row r="278">
      <c r="A278" s="151" t="inlineStr">
        <is>
          <t xml:space="preserve">Escalada</t>
        </is>
      </c>
      <c r="B278" s="155" t="inlineStr">
        <is>
          <t xml:space="preserve">Facundo</t>
        </is>
      </c>
      <c r="C278" s="127" t="inlineStr">
        <is>
          <t xml:space="preserve">23 h</t>
        </is>
      </c>
      <c r="D278" s="127" t="inlineStr">
        <is>
          <t xml:space="preserve">Salón</t>
        </is>
      </c>
      <c r="E278" s="88">
        <v>3500</v>
      </c>
      <c r="F278" s="152" t="inlineStr">
        <is>
          <t xml:space="preserve">HELADO X BOCHA</t>
        </is>
      </c>
      <c r="G278" s="152" t="inlineStr">
        <is>
          <t xml:space="preserve">1 TACITA 2 BOCHAS</t>
        </is>
      </c>
      <c r="H278" s="293" t="inlineStr">
        <is>
          <t xml:space="preserve">Rechazada</t>
        </is>
      </c>
      <c r="I278" s="152" t="inlineStr">
        <is>
          <t xml:space="preserve"/>
        </is>
      </c>
    </row>
    <row r="279">
      <c r="A279" s="151" t="inlineStr">
        <is>
          <t xml:space="preserve">Escalada</t>
        </is>
      </c>
      <c r="B279" s="155" t="inlineStr">
        <is>
          <t xml:space="preserve">Facundo</t>
        </is>
      </c>
      <c r="C279" s="127" t="inlineStr">
        <is>
          <t xml:space="preserve">23 h</t>
        </is>
      </c>
      <c r="D279" s="127" t="inlineStr">
        <is>
          <t xml:space="preserve">Salón</t>
        </is>
      </c>
      <c r="E279" s="88">
        <v>18000</v>
      </c>
      <c r="F279" s="152" t="inlineStr">
        <is>
          <t xml:space="preserve">HELADO X  KILO</t>
        </is>
      </c>
      <c r="G279" s="152" t="inlineStr">
        <is>
          <t xml:space="preserve">1 1/2  KILO</t>
        </is>
      </c>
      <c r="H279" s="227" t="inlineStr">
        <is>
          <t xml:space="preserve">Aceptada</t>
        </is>
      </c>
      <c r="I279" s="155" t="inlineStr">
        <is>
          <t xml:space="preserve">1 1/2  KILO</t>
        </is>
      </c>
    </row>
    <row r="280">
      <c r="A280" s="151" t="inlineStr">
        <is>
          <t xml:space="preserve">Escalada</t>
        </is>
      </c>
      <c r="B280" s="155" t="inlineStr">
        <is>
          <t xml:space="preserve">Facundo</t>
        </is>
      </c>
      <c r="C280" s="127" t="inlineStr">
        <is>
          <t xml:space="preserve">23 h</t>
        </is>
      </c>
      <c r="D280" s="127" t="inlineStr">
        <is>
          <t xml:space="preserve">Salón</t>
        </is>
      </c>
      <c r="E280" s="88">
        <v>1400</v>
      </c>
      <c r="F280" s="152" t="inlineStr">
        <is>
          <t xml:space="preserve">GRIDO TOPS</t>
        </is>
      </c>
      <c r="G280" s="152" t="inlineStr">
        <is>
          <t xml:space="preserve">2 GRIDO TOPS MINI ROCKLETS</t>
        </is>
      </c>
      <c r="H280" s="294" t="inlineStr">
        <is>
          <t xml:space="preserve">No ofrecida</t>
        </is>
      </c>
      <c r="I280" s="152" t="inlineStr">
        <is>
          <t xml:space="preserve"/>
        </is>
      </c>
    </row>
    <row r="281">
      <c r="A281" s="151" t="inlineStr">
        <is>
          <t xml:space="preserve">Escalada</t>
        </is>
      </c>
      <c r="B281" s="155" t="inlineStr">
        <is>
          <t xml:space="preserve">Facundo</t>
        </is>
      </c>
      <c r="C281" s="127" t="inlineStr">
        <is>
          <t xml:space="preserve">23 h</t>
        </is>
      </c>
      <c r="D281" s="127" t="inlineStr">
        <is>
          <t xml:space="preserve">Salón</t>
        </is>
      </c>
      <c r="E281" s="88">
        <v>10000</v>
      </c>
      <c r="F281" s="152" t="inlineStr">
        <is>
          <t xml:space="preserve">HELADO X  KILO</t>
        </is>
      </c>
      <c r="G281" s="152" t="inlineStr">
        <is>
          <t xml:space="preserve">1 1/2  KILO</t>
        </is>
      </c>
      <c r="H281" s="293" t="inlineStr">
        <is>
          <t xml:space="preserve">Rechazada</t>
        </is>
      </c>
      <c r="I281" s="152" t="inlineStr">
        <is>
          <t xml:space="preserve"/>
        </is>
      </c>
    </row>
    <row r="282">
      <c r="A282" s="151" t="inlineStr">
        <is>
          <t xml:space="preserve">Escalada</t>
        </is>
      </c>
      <c r="B282" s="155" t="inlineStr">
        <is>
          <t xml:space="preserve">Silvia</t>
        </is>
      </c>
      <c r="C282" s="127" t="inlineStr">
        <is>
          <t xml:space="preserve">15 h</t>
        </is>
      </c>
      <c r="D282" s="127" t="inlineStr">
        <is>
          <t xml:space="preserve">Salón</t>
        </is>
      </c>
      <c r="E282" s="88">
        <v>13800</v>
      </c>
      <c r="F282" s="152" t="inlineStr">
        <is>
          <t xml:space="preserve">POSTRES</t>
        </is>
      </c>
      <c r="G282" s="152" t="inlineStr">
        <is>
          <t xml:space="preserve">1 BOMBON SUIZO EN CAJA X 8</t>
        </is>
      </c>
      <c r="H282" s="293" t="inlineStr">
        <is>
          <t xml:space="preserve">Rechazada</t>
        </is>
      </c>
      <c r="I282" s="152" t="inlineStr">
        <is>
          <t xml:space="preserve"/>
        </is>
      </c>
    </row>
    <row r="283">
      <c r="A283" s="151" t="inlineStr">
        <is>
          <t xml:space="preserve">Escalada</t>
        </is>
      </c>
      <c r="B283" s="155" t="inlineStr">
        <is>
          <t xml:space="preserve">Silvia</t>
        </is>
      </c>
      <c r="C283" s="127" t="inlineStr">
        <is>
          <t xml:space="preserve">15 h</t>
        </is>
      </c>
      <c r="D283" s="127" t="inlineStr">
        <is>
          <t xml:space="preserve">Salón</t>
        </is>
      </c>
      <c r="E283" s="88">
        <v>3500</v>
      </c>
      <c r="F283" s="152" t="inlineStr">
        <is>
          <t xml:space="preserve">HELADO X BOCHA</t>
        </is>
      </c>
      <c r="G283" s="152" t="inlineStr">
        <is>
          <t xml:space="preserve">1 GIGANTE 2 BOCHAS</t>
        </is>
      </c>
      <c r="H283" s="293" t="inlineStr">
        <is>
          <t xml:space="preserve">Rechazada</t>
        </is>
      </c>
      <c r="I283" s="152" t="inlineStr">
        <is>
          <t xml:space="preserve"/>
        </is>
      </c>
    </row>
    <row r="284">
      <c r="A284" s="151" t="inlineStr">
        <is>
          <t xml:space="preserve">Escalada</t>
        </is>
      </c>
      <c r="B284" s="155" t="inlineStr">
        <is>
          <t xml:space="preserve">Silvia</t>
        </is>
      </c>
      <c r="C284" s="127" t="inlineStr">
        <is>
          <t xml:space="preserve">15 h</t>
        </is>
      </c>
      <c r="D284" s="127" t="inlineStr">
        <is>
          <t xml:space="preserve">Salón</t>
        </is>
      </c>
      <c r="E284" s="88">
        <v>10700</v>
      </c>
      <c r="F284" s="152" t="inlineStr">
        <is>
          <t xml:space="preserve">POSTRES</t>
        </is>
      </c>
      <c r="G284" s="152" t="inlineStr">
        <is>
          <t xml:space="preserve">1 ALMENDRADO EN CAJA X 8</t>
        </is>
      </c>
      <c r="H284" s="293" t="inlineStr">
        <is>
          <t xml:space="preserve">Rechazada</t>
        </is>
      </c>
      <c r="I284" s="152" t="inlineStr">
        <is>
          <t xml:space="preserve"/>
        </is>
      </c>
    </row>
    <row r="285">
      <c r="A285" s="151" t="inlineStr">
        <is>
          <t xml:space="preserve">Escalada</t>
        </is>
      </c>
      <c r="B285" s="155" t="inlineStr">
        <is>
          <t xml:space="preserve">Silvia</t>
        </is>
      </c>
      <c r="C285" s="127" t="inlineStr">
        <is>
          <t xml:space="preserve">15 h</t>
        </is>
      </c>
      <c r="D285" s="127" t="inlineStr">
        <is>
          <t xml:space="preserve">Salón</t>
        </is>
      </c>
      <c r="E285" s="88">
        <v>16900</v>
      </c>
      <c r="F285" s="152" t="inlineStr">
        <is>
          <t xml:space="preserve">HELADO X  KILO</t>
        </is>
      </c>
      <c r="G285" s="152" t="inlineStr">
        <is>
          <t xml:space="preserve">1 1 KILO</t>
        </is>
      </c>
      <c r="H285" s="293" t="inlineStr">
        <is>
          <t xml:space="preserve">Rechazada</t>
        </is>
      </c>
      <c r="I285" s="152" t="inlineStr">
        <is>
          <t xml:space="preserve"/>
        </is>
      </c>
    </row>
    <row r="286">
      <c r="A286" s="151" t="inlineStr">
        <is>
          <t xml:space="preserve">Escalada</t>
        </is>
      </c>
      <c r="B286" s="155" t="inlineStr">
        <is>
          <t xml:space="preserve">Silvia</t>
        </is>
      </c>
      <c r="C286" s="127" t="inlineStr">
        <is>
          <t xml:space="preserve">15 h</t>
        </is>
      </c>
      <c r="D286" s="127" t="inlineStr">
        <is>
          <t xml:space="preserve">Salón</t>
        </is>
      </c>
      <c r="E286" s="88">
        <v>12200</v>
      </c>
      <c r="F286" s="152" t="inlineStr">
        <is>
          <t xml:space="preserve">HELADO X  KILO</t>
        </is>
      </c>
      <c r="G286" s="152" t="inlineStr">
        <is>
          <t xml:space="preserve">1 1/2  KILO + 1 BOMBON FRUTEZZA XU.</t>
        </is>
      </c>
      <c r="H286" s="293" t="inlineStr">
        <is>
          <t xml:space="preserve">Rechazada</t>
        </is>
      </c>
      <c r="I286" s="152" t="inlineStr">
        <is>
          <t xml:space="preserve"/>
        </is>
      </c>
    </row>
    <row r="287">
      <c r="A287" s="151" t="inlineStr">
        <is>
          <t xml:space="preserve">Escalada</t>
        </is>
      </c>
      <c r="B287" s="155" t="inlineStr">
        <is>
          <t xml:space="preserve">Silvia</t>
        </is>
      </c>
      <c r="C287" s="127" t="inlineStr">
        <is>
          <t xml:space="preserve">15 h</t>
        </is>
      </c>
      <c r="D287" s="127" t="inlineStr">
        <is>
          <t xml:space="preserve">Salón</t>
        </is>
      </c>
      <c r="E287" s="88">
        <v>19900</v>
      </c>
      <c r="F287" s="152" t="inlineStr">
        <is>
          <t xml:space="preserve">POSTRES</t>
        </is>
      </c>
      <c r="G287" s="152" t="inlineStr">
        <is>
          <t xml:space="preserve">1 BOMBON ESCOCES EN CAJA X 8 + 1 FRAMBUESAS DOBLE CHOCOLATE - GRIDO</t>
        </is>
      </c>
      <c r="H287" s="293" t="inlineStr">
        <is>
          <t xml:space="preserve">Rechazada</t>
        </is>
      </c>
      <c r="I287" s="152" t="inlineStr">
        <is>
          <t xml:space="preserve"/>
        </is>
      </c>
    </row>
    <row r="288">
      <c r="A288" s="151" t="inlineStr">
        <is>
          <t xml:space="preserve">Escalada</t>
        </is>
      </c>
      <c r="B288" s="155" t="inlineStr">
        <is>
          <t xml:space="preserve">Silvia</t>
        </is>
      </c>
      <c r="C288" s="127" t="inlineStr">
        <is>
          <t xml:space="preserve">15 h</t>
        </is>
      </c>
      <c r="D288" s="127" t="inlineStr">
        <is>
          <t xml:space="preserve">Salón</t>
        </is>
      </c>
      <c r="E288" s="88">
        <v>9600</v>
      </c>
      <c r="F288" s="152" t="inlineStr">
        <is>
          <t xml:space="preserve">POSTRES</t>
        </is>
      </c>
      <c r="G288" s="152" t="inlineStr">
        <is>
          <t xml:space="preserve">1 BOMBON ESCOCES X UNIDAD + 1 BOMBON CROCANTE X UNIDAD + 1 BOMBON FRUTEZZA XU. + 1 PALITO FRUTAL NARANJA X UNIDAD</t>
        </is>
      </c>
      <c r="H288" s="227" t="inlineStr">
        <is>
          <t xml:space="preserve">Aceptada</t>
        </is>
      </c>
      <c r="I288" s="155" t="inlineStr">
        <is>
          <t xml:space="preserve">1 BOMBON FRUTEZZA XU.</t>
        </is>
      </c>
    </row>
    <row r="289">
      <c r="A289" s="151" t="inlineStr">
        <is>
          <t xml:space="preserve">Escalada</t>
        </is>
      </c>
      <c r="B289" s="155" t="inlineStr">
        <is>
          <t xml:space="preserve">Silvia</t>
        </is>
      </c>
      <c r="C289" s="127" t="inlineStr">
        <is>
          <t xml:space="preserve">15 h</t>
        </is>
      </c>
      <c r="D289" s="127" t="inlineStr">
        <is>
          <t xml:space="preserve">Salón</t>
        </is>
      </c>
      <c r="E289" s="88">
        <v>7000.01</v>
      </c>
      <c r="F289" s="152" t="inlineStr">
        <is>
          <t xml:space="preserve">HELADO X  KILO</t>
        </is>
      </c>
      <c r="G289" s="152" t="inlineStr">
        <is>
          <t xml:space="preserve">1 1/2  KILO + 1 DESCUENTO CUPONES</t>
        </is>
      </c>
      <c r="H289" s="293" t="inlineStr">
        <is>
          <t xml:space="preserve">Rechazada</t>
        </is>
      </c>
      <c r="I289" s="152" t="inlineStr">
        <is>
          <t xml:space="preserve"/>
        </is>
      </c>
    </row>
    <row r="290">
      <c r="A290" s="151" t="inlineStr">
        <is>
          <t xml:space="preserve">Escalada</t>
        </is>
      </c>
      <c r="B290" s="155" t="inlineStr">
        <is>
          <t xml:space="preserve">Silvia</t>
        </is>
      </c>
      <c r="C290" s="127" t="inlineStr">
        <is>
          <t xml:space="preserve">15 h</t>
        </is>
      </c>
      <c r="D290" s="127" t="inlineStr">
        <is>
          <t xml:space="preserve">Salón</t>
        </is>
      </c>
      <c r="E290" s="88">
        <v>6500</v>
      </c>
      <c r="F290" s="152" t="inlineStr">
        <is>
          <t xml:space="preserve">CAFETERIA</t>
        </is>
      </c>
      <c r="G290" s="152" t="inlineStr">
        <is>
          <t xml:space="preserve">1 CAFE CAPUCCINO</t>
        </is>
      </c>
      <c r="H290" s="227" t="inlineStr">
        <is>
          <t xml:space="preserve">Aceptada</t>
        </is>
      </c>
      <c r="I290" s="155" t="inlineStr">
        <is>
          <t xml:space="preserve">1 TORTA COCO C/DULCE DE LECHE 120G.</t>
        </is>
      </c>
    </row>
    <row r="291">
      <c r="A291" s="151" t="inlineStr">
        <is>
          <t xml:space="preserve">Escalada</t>
        </is>
      </c>
      <c r="B291" s="155" t="inlineStr">
        <is>
          <t xml:space="preserve">Silvia</t>
        </is>
      </c>
      <c r="C291" s="127" t="inlineStr">
        <is>
          <t xml:space="preserve">15 h</t>
        </is>
      </c>
      <c r="D291" s="127" t="inlineStr">
        <is>
          <t xml:space="preserve">Salón</t>
        </is>
      </c>
      <c r="E291" s="88">
        <v>6500</v>
      </c>
      <c r="F291" s="152" t="inlineStr">
        <is>
          <t xml:space="preserve">CAFETERIA</t>
        </is>
      </c>
      <c r="G291" s="152" t="inlineStr">
        <is>
          <t xml:space="preserve">1 CAFÉ CON LECHE GRANDE</t>
        </is>
      </c>
      <c r="H291" s="227" t="inlineStr">
        <is>
          <t xml:space="preserve">Aceptada</t>
        </is>
      </c>
      <c r="I291" s="155" t="inlineStr">
        <is>
          <t xml:space="preserve">1 TORTA COCO C/DULCE DE LECHE 120G.</t>
        </is>
      </c>
    </row>
    <row r="292">
      <c r="A292" s="151" t="inlineStr">
        <is>
          <t xml:space="preserve">Escalada</t>
        </is>
      </c>
      <c r="B292" s="155" t="inlineStr">
        <is>
          <t xml:space="preserve">Silvia</t>
        </is>
      </c>
      <c r="C292" s="127" t="inlineStr">
        <is>
          <t xml:space="preserve">15 h</t>
        </is>
      </c>
      <c r="D292" s="127" t="inlineStr">
        <is>
          <t xml:space="preserve">Salón</t>
        </is>
      </c>
      <c r="E292" s="88">
        <v>4900</v>
      </c>
      <c r="F292" s="152" t="inlineStr">
        <is>
          <t xml:space="preserve">PALITOS</t>
        </is>
      </c>
      <c r="G292" s="152" t="inlineStr">
        <is>
          <t xml:space="preserve">2 P.CREM.FRUTILLA X UNIDAD + 1 PALITO BOMBON DDL X UN. + 1 PALITO BOMBON X UNIDAD + 1 P.CREM.AMERICANA X UNIDAD</t>
        </is>
      </c>
      <c r="H292" s="293" t="inlineStr">
        <is>
          <t xml:space="preserve">Rechazada</t>
        </is>
      </c>
      <c r="I292" s="152" t="inlineStr">
        <is>
          <t xml:space="preserve"/>
        </is>
      </c>
    </row>
    <row r="293">
      <c r="A293" s="151" t="inlineStr">
        <is>
          <t xml:space="preserve">Escalada</t>
        </is>
      </c>
      <c r="B293" s="155" t="inlineStr">
        <is>
          <t xml:space="preserve">Silvia</t>
        </is>
      </c>
      <c r="C293" s="127" t="inlineStr">
        <is>
          <t xml:space="preserve">16 h</t>
        </is>
      </c>
      <c r="D293" s="127" t="inlineStr">
        <is>
          <t xml:space="preserve">PedidosYa</t>
        </is>
      </c>
      <c r="E293" s="88">
        <v>20450</v>
      </c>
      <c r="F293" s="152" t="inlineStr">
        <is>
          <t xml:space="preserve">POSTRES</t>
        </is>
      </c>
      <c r="G293" s="152" t="inlineStr">
        <is>
          <t xml:space="preserve">1 BOMBON ESCOCES EN CAJA X 8 + 3 P.CREM.FRUTILLA X UNIDAD</t>
        </is>
      </c>
      <c r="H293" s="294" t="inlineStr">
        <is>
          <t xml:space="preserve">No ofrecida</t>
        </is>
      </c>
      <c r="I293" s="152" t="inlineStr">
        <is>
          <t xml:space="preserve"/>
        </is>
      </c>
    </row>
    <row r="294">
      <c r="A294" s="151" t="inlineStr">
        <is>
          <t xml:space="preserve">Escalada</t>
        </is>
      </c>
      <c r="B294" s="155" t="inlineStr">
        <is>
          <t xml:space="preserve">Silvia</t>
        </is>
      </c>
      <c r="C294" s="127" t="inlineStr">
        <is>
          <t xml:space="preserve">16 h</t>
        </is>
      </c>
      <c r="D294" s="127" t="inlineStr">
        <is>
          <t xml:space="preserve">PedidosYa</t>
        </is>
      </c>
      <c r="E294" s="88">
        <v>7000</v>
      </c>
      <c r="F294" s="152" t="inlineStr">
        <is>
          <t xml:space="preserve">POSTRES</t>
        </is>
      </c>
      <c r="G294" s="152" t="inlineStr">
        <is>
          <t xml:space="preserve">2 ALFAJOR SECRETO COOKIES AND CREAM X UN.</t>
        </is>
      </c>
      <c r="H294" s="294" t="inlineStr">
        <is>
          <t xml:space="preserve">No ofrecida</t>
        </is>
      </c>
      <c r="I294" s="152" t="inlineStr">
        <is>
          <t xml:space="preserve"/>
        </is>
      </c>
    </row>
    <row r="295">
      <c r="A295" s="151" t="inlineStr">
        <is>
          <t xml:space="preserve">Escalada</t>
        </is>
      </c>
      <c r="B295" s="155" t="inlineStr">
        <is>
          <t xml:space="preserve">Silvia</t>
        </is>
      </c>
      <c r="C295" s="127" t="inlineStr">
        <is>
          <t xml:space="preserve">16 h</t>
        </is>
      </c>
      <c r="D295" s="127" t="inlineStr">
        <is>
          <t xml:space="preserve">PedidosYa</t>
        </is>
      </c>
      <c r="E295" s="88">
        <v>9950</v>
      </c>
      <c r="F295" s="152" t="inlineStr">
        <is>
          <t xml:space="preserve">HELADO X  KILO</t>
        </is>
      </c>
      <c r="G295" s="152" t="inlineStr">
        <is>
          <t xml:space="preserve">1 1 KILO</t>
        </is>
      </c>
      <c r="H295" s="294" t="inlineStr">
        <is>
          <t xml:space="preserve">No ofrecida</t>
        </is>
      </c>
      <c r="I295" s="152" t="inlineStr">
        <is>
          <t xml:space="preserve"/>
        </is>
      </c>
    </row>
    <row r="296">
      <c r="A296" s="151" t="inlineStr">
        <is>
          <t xml:space="preserve">Escalada</t>
        </is>
      </c>
      <c r="B296" s="155" t="inlineStr">
        <is>
          <t xml:space="preserve">Silvia</t>
        </is>
      </c>
      <c r="C296" s="127" t="inlineStr">
        <is>
          <t xml:space="preserve">16 h</t>
        </is>
      </c>
      <c r="D296" s="127" t="inlineStr">
        <is>
          <t xml:space="preserve">Rappi</t>
        </is>
      </c>
      <c r="E296" s="88">
        <v>13930</v>
      </c>
      <c r="F296" s="152" t="inlineStr">
        <is>
          <t xml:space="preserve">HELADO X  KILO</t>
        </is>
      </c>
      <c r="G296" s="152" t="inlineStr">
        <is>
          <t xml:space="preserve">1 1 KILO</t>
        </is>
      </c>
      <c r="H296" s="294" t="inlineStr">
        <is>
          <t xml:space="preserve">No ofrecida</t>
        </is>
      </c>
      <c r="I296" s="152" t="inlineStr">
        <is>
          <t xml:space="preserve"/>
        </is>
      </c>
    </row>
    <row r="297">
      <c r="A297" s="151" t="inlineStr">
        <is>
          <t xml:space="preserve">Escalada</t>
        </is>
      </c>
      <c r="B297" s="155" t="inlineStr">
        <is>
          <t xml:space="preserve">Silvia</t>
        </is>
      </c>
      <c r="C297" s="127" t="inlineStr">
        <is>
          <t xml:space="preserve">16 h</t>
        </is>
      </c>
      <c r="D297" s="127" t="inlineStr">
        <is>
          <t xml:space="preserve">PedidosYa</t>
        </is>
      </c>
      <c r="E297" s="88">
        <v>12400</v>
      </c>
      <c r="F297" s="152" t="inlineStr">
        <is>
          <t xml:space="preserve">POSTRES</t>
        </is>
      </c>
      <c r="G297" s="152" t="inlineStr">
        <is>
          <t xml:space="preserve">1 CROCANTINO</t>
        </is>
      </c>
      <c r="H297" s="294" t="inlineStr">
        <is>
          <t xml:space="preserve">No ofrecida</t>
        </is>
      </c>
      <c r="I297" s="152" t="inlineStr">
        <is>
          <t xml:space="preserve"/>
        </is>
      </c>
    </row>
    <row r="298">
      <c r="A298" s="151" t="inlineStr">
        <is>
          <t xml:space="preserve">Escalada</t>
        </is>
      </c>
      <c r="B298" s="155" t="inlineStr">
        <is>
          <t xml:space="preserve">Silvia</t>
        </is>
      </c>
      <c r="C298" s="127" t="inlineStr">
        <is>
          <t xml:space="preserve">16 h</t>
        </is>
      </c>
      <c r="D298" s="127" t="inlineStr">
        <is>
          <t xml:space="preserve">PedidosYa</t>
        </is>
      </c>
      <c r="E298" s="88">
        <v>19900</v>
      </c>
      <c r="F298" s="152" t="inlineStr">
        <is>
          <t xml:space="preserve">HELADO X  KILO</t>
        </is>
      </c>
      <c r="G298" s="152" t="inlineStr">
        <is>
          <t xml:space="preserve">1 1 KILO</t>
        </is>
      </c>
      <c r="H298" s="294" t="inlineStr">
        <is>
          <t xml:space="preserve">No ofrecida</t>
        </is>
      </c>
      <c r="I298" s="152" t="inlineStr">
        <is>
          <t xml:space="preserve"/>
        </is>
      </c>
    </row>
    <row r="299">
      <c r="A299" s="151" t="inlineStr">
        <is>
          <t xml:space="preserve">Escalada</t>
        </is>
      </c>
      <c r="B299" s="155" t="inlineStr">
        <is>
          <t xml:space="preserve">Silvia</t>
        </is>
      </c>
      <c r="C299" s="127" t="inlineStr">
        <is>
          <t xml:space="preserve">16 h</t>
        </is>
      </c>
      <c r="D299" s="127" t="inlineStr">
        <is>
          <t xml:space="preserve">PedidosYa</t>
        </is>
      </c>
      <c r="E299" s="88">
        <v>13930</v>
      </c>
      <c r="F299" s="152" t="inlineStr">
        <is>
          <t xml:space="preserve">HELADO X  KILO</t>
        </is>
      </c>
      <c r="G299" s="152" t="inlineStr">
        <is>
          <t xml:space="preserve">1 1 KILO</t>
        </is>
      </c>
      <c r="H299" s="294" t="inlineStr">
        <is>
          <t xml:space="preserve">No ofrecida</t>
        </is>
      </c>
      <c r="I299" s="152" t="inlineStr">
        <is>
          <t xml:space="preserve"/>
        </is>
      </c>
    </row>
    <row r="300">
      <c r="A300" s="151" t="inlineStr">
        <is>
          <t xml:space="preserve">Escalada</t>
        </is>
      </c>
      <c r="B300" s="155" t="inlineStr">
        <is>
          <t xml:space="preserve">Silvia</t>
        </is>
      </c>
      <c r="C300" s="127" t="inlineStr">
        <is>
          <t xml:space="preserve">16 h</t>
        </is>
      </c>
      <c r="D300" s="127" t="inlineStr">
        <is>
          <t xml:space="preserve">Salón</t>
        </is>
      </c>
      <c r="E300" s="88">
        <v>12600</v>
      </c>
      <c r="F300" s="152" t="inlineStr">
        <is>
          <t xml:space="preserve">POSTRES</t>
        </is>
      </c>
      <c r="G300" s="152" t="inlineStr">
        <is>
          <t xml:space="preserve">4 ALMENDRADO X UNIDAD + 6 GRIDO TOPS - SALSA CHOCOLATE + 1 BOMBON ESCOCES X UNIDAD</t>
        </is>
      </c>
      <c r="H300" s="293" t="inlineStr">
        <is>
          <t xml:space="preserve">Rechazada</t>
        </is>
      </c>
      <c r="I300" s="152" t="inlineStr">
        <is>
          <t xml:space="preserve"/>
        </is>
      </c>
    </row>
    <row r="301">
      <c r="A301" s="151" t="inlineStr">
        <is>
          <t xml:space="preserve">Escalada</t>
        </is>
      </c>
      <c r="B301" s="155" t="inlineStr">
        <is>
          <t xml:space="preserve">Silvia</t>
        </is>
      </c>
      <c r="C301" s="127" t="inlineStr">
        <is>
          <t xml:space="preserve">16 h</t>
        </is>
      </c>
      <c r="D301" s="127" t="inlineStr">
        <is>
          <t xml:space="preserve">PedidosYa</t>
        </is>
      </c>
      <c r="E301" s="88">
        <v>22000</v>
      </c>
      <c r="F301" s="152" t="inlineStr">
        <is>
          <t xml:space="preserve">TORTAS</t>
        </is>
      </c>
      <c r="G301" s="152" t="inlineStr">
        <is>
          <t xml:space="preserve">1 TORTA GRIDO RELLENA</t>
        </is>
      </c>
      <c r="H301" s="294" t="inlineStr">
        <is>
          <t xml:space="preserve">No ofrecida</t>
        </is>
      </c>
      <c r="I301" s="152" t="inlineStr">
        <is>
          <t xml:space="preserve"/>
        </is>
      </c>
    </row>
    <row r="302">
      <c r="A302" s="151" t="inlineStr">
        <is>
          <t xml:space="preserve">Escalada</t>
        </is>
      </c>
      <c r="B302" s="155" t="inlineStr">
        <is>
          <t xml:space="preserve">Silvia</t>
        </is>
      </c>
      <c r="C302" s="127" t="inlineStr">
        <is>
          <t xml:space="preserve">16 h</t>
        </is>
      </c>
      <c r="D302" s="127" t="inlineStr">
        <is>
          <t xml:space="preserve">Salón</t>
        </is>
      </c>
      <c r="E302" s="88">
        <v>30700</v>
      </c>
      <c r="F302" s="152" t="inlineStr">
        <is>
          <t xml:space="preserve">HELADO X  KILO</t>
        </is>
      </c>
      <c r="G302" s="152" t="inlineStr">
        <is>
          <t xml:space="preserve">1 1 KILO + 2 GRIDOTOY 1 B.TACITA PUQUI MUCHI</t>
        </is>
      </c>
      <c r="H302" s="227" t="inlineStr">
        <is>
          <t xml:space="preserve">Aceptada</t>
        </is>
      </c>
      <c r="I302" s="155" t="inlineStr">
        <is>
          <t xml:space="preserve">1 1/4  KILO</t>
        </is>
      </c>
    </row>
    <row r="303">
      <c r="A303" s="151" t="inlineStr">
        <is>
          <t xml:space="preserve">Escalada</t>
        </is>
      </c>
      <c r="B303" s="155" t="inlineStr">
        <is>
          <t xml:space="preserve">Silvia</t>
        </is>
      </c>
      <c r="C303" s="127" t="inlineStr">
        <is>
          <t xml:space="preserve">16 h</t>
        </is>
      </c>
      <c r="D303" s="127" t="inlineStr">
        <is>
          <t xml:space="preserve">Salón</t>
        </is>
      </c>
      <c r="E303" s="88">
        <v>56200</v>
      </c>
      <c r="F303" s="152" t="inlineStr">
        <is>
          <t xml:space="preserve">POSTRES</t>
        </is>
      </c>
      <c r="G303" s="152" t="inlineStr">
        <is>
          <t xml:space="preserve">2 BOMBON ESCOCES EN CAJA X 8 + 2 BOMBON SUIZO EN CAJA X 8</t>
        </is>
      </c>
      <c r="H303" s="293" t="inlineStr">
        <is>
          <t xml:space="preserve">Rechazada</t>
        </is>
      </c>
      <c r="I303" s="152" t="inlineStr">
        <is>
          <t xml:space="preserve"/>
        </is>
      </c>
    </row>
    <row r="304">
      <c r="A304" s="151" t="inlineStr">
        <is>
          <t xml:space="preserve">Escalada</t>
        </is>
      </c>
      <c r="B304" s="155" t="inlineStr">
        <is>
          <t xml:space="preserve">Silvia</t>
        </is>
      </c>
      <c r="C304" s="127" t="inlineStr">
        <is>
          <t xml:space="preserve">16 h</t>
        </is>
      </c>
      <c r="D304" s="127" t="inlineStr">
        <is>
          <t xml:space="preserve">Salón</t>
        </is>
      </c>
      <c r="E304" s="88">
        <v>7000</v>
      </c>
      <c r="F304" s="152" t="inlineStr">
        <is>
          <t xml:space="preserve">HELADO X BOCHA</t>
        </is>
      </c>
      <c r="G304" s="152" t="inlineStr">
        <is>
          <t xml:space="preserve">1 GIGANTE 2 BOCHAS + 1 GIGANTE 2 BOCHAS + 1 GIGANTE 2 BOCHAS + 1 GIGANTE 2 BOCHAS</t>
        </is>
      </c>
      <c r="H304" s="294" t="inlineStr">
        <is>
          <t xml:space="preserve">No ofrecida</t>
        </is>
      </c>
      <c r="I304" s="152" t="inlineStr">
        <is>
          <t xml:space="preserve"/>
        </is>
      </c>
    </row>
    <row r="305">
      <c r="A305" s="151" t="inlineStr">
        <is>
          <t xml:space="preserve">Escalada</t>
        </is>
      </c>
      <c r="B305" s="155" t="inlineStr">
        <is>
          <t xml:space="preserve">Silvia</t>
        </is>
      </c>
      <c r="C305" s="127" t="inlineStr">
        <is>
          <t xml:space="preserve">16 h</t>
        </is>
      </c>
      <c r="D305" s="127" t="inlineStr">
        <is>
          <t xml:space="preserve">PedidosYa</t>
        </is>
      </c>
      <c r="E305" s="88">
        <v>7000</v>
      </c>
      <c r="F305" s="152" t="inlineStr">
        <is>
          <t xml:space="preserve">CONGELADOS</t>
        </is>
      </c>
      <c r="G305" s="152" t="inlineStr">
        <is>
          <t xml:space="preserve">1 FRAMBUESAS DOBLE CHOCOLATE - GRIDO</t>
        </is>
      </c>
      <c r="H305" s="294" t="inlineStr">
        <is>
          <t xml:space="preserve">No ofrecida</t>
        </is>
      </c>
      <c r="I305" s="152" t="inlineStr">
        <is>
          <t xml:space="preserve"/>
        </is>
      </c>
    </row>
    <row r="306">
      <c r="A306" s="151" t="inlineStr">
        <is>
          <t xml:space="preserve">Escalada</t>
        </is>
      </c>
      <c r="B306" s="155" t="inlineStr">
        <is>
          <t xml:space="preserve">Silvia</t>
        </is>
      </c>
      <c r="C306" s="127" t="inlineStr">
        <is>
          <t xml:space="preserve">16 h</t>
        </is>
      </c>
      <c r="D306" s="127" t="inlineStr">
        <is>
          <t xml:space="preserve">PedidosYa</t>
        </is>
      </c>
      <c r="E306" s="88">
        <v>17300</v>
      </c>
      <c r="F306" s="152" t="inlineStr">
        <is>
          <t xml:space="preserve">POSTRES</t>
        </is>
      </c>
      <c r="G306" s="152" t="inlineStr">
        <is>
          <t xml:space="preserve">1 BOMBON ESCOCES EN CAJA X 8</t>
        </is>
      </c>
      <c r="H306" s="294" t="inlineStr">
        <is>
          <t xml:space="preserve">No ofrecida</t>
        </is>
      </c>
      <c r="I306" s="152" t="inlineStr">
        <is>
          <t xml:space="preserve"/>
        </is>
      </c>
    </row>
    <row r="307">
      <c r="A307" s="151" t="inlineStr">
        <is>
          <t xml:space="preserve">Escalada</t>
        </is>
      </c>
      <c r="B307" s="155" t="inlineStr">
        <is>
          <t xml:space="preserve">Silvia</t>
        </is>
      </c>
      <c r="C307" s="127" t="inlineStr">
        <is>
          <t xml:space="preserve">16 h</t>
        </is>
      </c>
      <c r="D307" s="127" t="inlineStr">
        <is>
          <t xml:space="preserve">Salón</t>
        </is>
      </c>
      <c r="E307" s="88">
        <v>24900</v>
      </c>
      <c r="F307" s="152" t="inlineStr">
        <is>
          <t xml:space="preserve">HELADO X  KILO</t>
        </is>
      </c>
      <c r="G307" s="152" t="inlineStr">
        <is>
          <t xml:space="preserve">1 1 KILO</t>
        </is>
      </c>
      <c r="H307" s="227" t="inlineStr">
        <is>
          <t xml:space="preserve">Aceptada</t>
        </is>
      </c>
      <c r="I307" s="155" t="inlineStr">
        <is>
          <t xml:space="preserve">1 1/2  KILO</t>
        </is>
      </c>
    </row>
    <row r="308">
      <c r="A308" s="151" t="inlineStr">
        <is>
          <t xml:space="preserve">Escalada</t>
        </is>
      </c>
      <c r="B308" s="155" t="inlineStr">
        <is>
          <t xml:space="preserve">Silvia</t>
        </is>
      </c>
      <c r="C308" s="127" t="inlineStr">
        <is>
          <t xml:space="preserve">16 h</t>
        </is>
      </c>
      <c r="D308" s="127" t="inlineStr">
        <is>
          <t xml:space="preserve">Salón</t>
        </is>
      </c>
      <c r="E308" s="88">
        <v>1200</v>
      </c>
      <c r="F308" s="152" t="inlineStr">
        <is>
          <t xml:space="preserve">CUCURUCH.</t>
        </is>
      </c>
      <c r="G308" s="152" t="inlineStr">
        <is>
          <t xml:space="preserve">1 CUPS CLÁSICO BOCA ANCHA  X3</t>
        </is>
      </c>
      <c r="H308" s="294" t="inlineStr">
        <is>
          <t xml:space="preserve">No ofrecida</t>
        </is>
      </c>
      <c r="I308" s="152" t="inlineStr">
        <is>
          <t xml:space="preserve"/>
        </is>
      </c>
    </row>
    <row r="309">
      <c r="A309" s="151" t="inlineStr">
        <is>
          <t xml:space="preserve">Escalada</t>
        </is>
      </c>
      <c r="B309" s="155" t="inlineStr">
        <is>
          <t xml:space="preserve">Silvia</t>
        </is>
      </c>
      <c r="C309" s="127" t="inlineStr">
        <is>
          <t xml:space="preserve">16 h</t>
        </is>
      </c>
      <c r="D309" s="127" t="inlineStr">
        <is>
          <t xml:space="preserve">Salón</t>
        </is>
      </c>
      <c r="E309" s="88">
        <v>15000</v>
      </c>
      <c r="F309" s="152" t="inlineStr">
        <is>
          <t xml:space="preserve">HELADO X BOCHA</t>
        </is>
      </c>
      <c r="G309" s="152" t="inlineStr">
        <is>
          <t xml:space="preserve">2 GIGANTE 2 BOCHAS</t>
        </is>
      </c>
      <c r="H309" s="227" t="inlineStr">
        <is>
          <t xml:space="preserve">Aceptada</t>
        </is>
      </c>
      <c r="I309" s="155" t="inlineStr">
        <is>
          <t xml:space="preserve">1 1/2  KILO</t>
        </is>
      </c>
    </row>
    <row r="310">
      <c r="A310" s="151" t="inlineStr">
        <is>
          <t xml:space="preserve">Escalada</t>
        </is>
      </c>
      <c r="B310" s="155" t="inlineStr">
        <is>
          <t xml:space="preserve">Silvia</t>
        </is>
      </c>
      <c r="C310" s="127" t="inlineStr">
        <is>
          <t xml:space="preserve">16 h</t>
        </is>
      </c>
      <c r="D310" s="127" t="inlineStr">
        <is>
          <t xml:space="preserve">Salón</t>
        </is>
      </c>
      <c r="E310" s="88">
        <v>17500</v>
      </c>
      <c r="F310" s="152" t="inlineStr">
        <is>
          <t xml:space="preserve">TORTAS</t>
        </is>
      </c>
      <c r="G310" s="152" t="inlineStr">
        <is>
          <t xml:space="preserve">1 TORTA GRIDO RELLENA</t>
        </is>
      </c>
      <c r="H310" s="293" t="inlineStr">
        <is>
          <t xml:space="preserve">Rechazada</t>
        </is>
      </c>
      <c r="I310" s="152" t="inlineStr">
        <is>
          <t xml:space="preserve"/>
        </is>
      </c>
    </row>
    <row r="311">
      <c r="A311" s="151" t="inlineStr">
        <is>
          <t xml:space="preserve">Escalada</t>
        </is>
      </c>
      <c r="B311" s="155" t="inlineStr">
        <is>
          <t xml:space="preserve">Silvia</t>
        </is>
      </c>
      <c r="C311" s="127" t="inlineStr">
        <is>
          <t xml:space="preserve">17 h</t>
        </is>
      </c>
      <c r="D311" s="127" t="inlineStr">
        <is>
          <t xml:space="preserve">Salón</t>
        </is>
      </c>
      <c r="E311" s="88">
        <v>3500</v>
      </c>
      <c r="F311" s="152" t="inlineStr">
        <is>
          <t xml:space="preserve">HELADO X BOCHA</t>
        </is>
      </c>
      <c r="G311" s="152" t="inlineStr">
        <is>
          <t xml:space="preserve">1 GIGANTE 2 BOCHAS</t>
        </is>
      </c>
      <c r="H311" s="293" t="inlineStr">
        <is>
          <t xml:space="preserve">Rechazada</t>
        </is>
      </c>
      <c r="I311" s="152" t="inlineStr">
        <is>
          <t xml:space="preserve"/>
        </is>
      </c>
    </row>
    <row r="312">
      <c r="A312" s="151" t="inlineStr">
        <is>
          <t xml:space="preserve">Escalada</t>
        </is>
      </c>
      <c r="B312" s="155" t="inlineStr">
        <is>
          <t xml:space="preserve">Silvia</t>
        </is>
      </c>
      <c r="C312" s="127" t="inlineStr">
        <is>
          <t xml:space="preserve">17 h</t>
        </is>
      </c>
      <c r="D312" s="127" t="inlineStr">
        <is>
          <t xml:space="preserve">Salón</t>
        </is>
      </c>
      <c r="E312" s="88">
        <v>3500</v>
      </c>
      <c r="F312" s="152" t="inlineStr">
        <is>
          <t xml:space="preserve">HELADO X BOCHA</t>
        </is>
      </c>
      <c r="G312" s="152" t="inlineStr">
        <is>
          <t xml:space="preserve">1 GIGANTE 2 BOCHAS</t>
        </is>
      </c>
      <c r="H312" s="293" t="inlineStr">
        <is>
          <t xml:space="preserve">Rechazada</t>
        </is>
      </c>
      <c r="I312" s="152" t="inlineStr">
        <is>
          <t xml:space="preserve"/>
        </is>
      </c>
    </row>
    <row r="313">
      <c r="A313" s="151" t="inlineStr">
        <is>
          <t xml:space="preserve">Escalada</t>
        </is>
      </c>
      <c r="B313" s="155" t="inlineStr">
        <is>
          <t xml:space="preserve">Silvia</t>
        </is>
      </c>
      <c r="C313" s="127" t="inlineStr">
        <is>
          <t xml:space="preserve">17 h</t>
        </is>
      </c>
      <c r="D313" s="127" t="inlineStr">
        <is>
          <t xml:space="preserve">PedidosYa</t>
        </is>
      </c>
      <c r="E313" s="88">
        <v>8400</v>
      </c>
      <c r="F313" s="152" t="inlineStr">
        <is>
          <t xml:space="preserve">PALITOS</t>
        </is>
      </c>
      <c r="G313" s="152" t="inlineStr">
        <is>
          <t xml:space="preserve">1 PALITO BOMBÓN DDL X 10</t>
        </is>
      </c>
      <c r="H313" s="294" t="inlineStr">
        <is>
          <t xml:space="preserve">No ofrecida</t>
        </is>
      </c>
      <c r="I313" s="152" t="inlineStr">
        <is>
          <t xml:space="preserve"/>
        </is>
      </c>
    </row>
    <row r="314">
      <c r="A314" s="151" t="inlineStr">
        <is>
          <t xml:space="preserve">Escalada</t>
        </is>
      </c>
      <c r="B314" s="155" t="inlineStr">
        <is>
          <t xml:space="preserve">Silvia</t>
        </is>
      </c>
      <c r="C314" s="127" t="inlineStr">
        <is>
          <t xml:space="preserve">17 h</t>
        </is>
      </c>
      <c r="D314" s="127" t="inlineStr">
        <is>
          <t xml:space="preserve">Salón</t>
        </is>
      </c>
      <c r="E314" s="88">
        <v>11400</v>
      </c>
      <c r="F314" s="152" t="inlineStr">
        <is>
          <t xml:space="preserve">HELADO X  KILO</t>
        </is>
      </c>
      <c r="G314" s="152" t="inlineStr">
        <is>
          <t xml:space="preserve">1 1/4  KILO</t>
        </is>
      </c>
      <c r="H314" s="227" t="inlineStr">
        <is>
          <t xml:space="preserve">Aceptada</t>
        </is>
      </c>
      <c r="I314" s="155" t="inlineStr">
        <is>
          <t xml:space="preserve">1 1/4  KILO</t>
        </is>
      </c>
    </row>
    <row r="315">
      <c r="A315" s="151" t="inlineStr">
        <is>
          <t xml:space="preserve">Escalada</t>
        </is>
      </c>
      <c r="B315" s="155" t="inlineStr">
        <is>
          <t xml:space="preserve">Silvia</t>
        </is>
      </c>
      <c r="C315" s="127" t="inlineStr">
        <is>
          <t xml:space="preserve">17 h</t>
        </is>
      </c>
      <c r="D315" s="127" t="inlineStr">
        <is>
          <t xml:space="preserve">Salón</t>
        </is>
      </c>
      <c r="E315" s="88">
        <v>13100</v>
      </c>
      <c r="F315" s="152" t="inlineStr">
        <is>
          <t xml:space="preserve">PALITOS</t>
        </is>
      </c>
      <c r="G315" s="152" t="inlineStr">
        <is>
          <t xml:space="preserve">1 PALITO BOMBÓN X10 UN. + 1 PALITO CREMOSO FRUTILLA X10 U.</t>
        </is>
      </c>
      <c r="H315" s="293" t="inlineStr">
        <is>
          <t xml:space="preserve">Rechazada</t>
        </is>
      </c>
      <c r="I315" s="152" t="inlineStr">
        <is>
          <t xml:space="preserve"/>
        </is>
      </c>
    </row>
    <row r="316">
      <c r="A316" s="151" t="inlineStr">
        <is>
          <t xml:space="preserve">Escalada</t>
        </is>
      </c>
      <c r="B316" s="155" t="inlineStr">
        <is>
          <t xml:space="preserve">Silvia</t>
        </is>
      </c>
      <c r="C316" s="127" t="inlineStr">
        <is>
          <t xml:space="preserve">17 h</t>
        </is>
      </c>
      <c r="D316" s="127" t="inlineStr">
        <is>
          <t xml:space="preserve">Rappi</t>
        </is>
      </c>
      <c r="E316" s="88">
        <v>7000</v>
      </c>
      <c r="F316" s="152" t="inlineStr">
        <is>
          <t xml:space="preserve">CONGELADOS</t>
        </is>
      </c>
      <c r="G316" s="152" t="inlineStr">
        <is>
          <t xml:space="preserve">1 FRAMBUESAS DOBLE CHOCOLATE - GRIDO</t>
        </is>
      </c>
      <c r="H316" s="294" t="inlineStr">
        <is>
          <t xml:space="preserve">No ofrecida</t>
        </is>
      </c>
      <c r="I316" s="152" t="inlineStr">
        <is>
          <t xml:space="preserve"/>
        </is>
      </c>
    </row>
    <row r="317">
      <c r="A317" s="151" t="inlineStr">
        <is>
          <t xml:space="preserve">Escalada</t>
        </is>
      </c>
      <c r="B317" s="155" t="inlineStr">
        <is>
          <t xml:space="preserve">Silvia</t>
        </is>
      </c>
      <c r="C317" s="127" t="inlineStr">
        <is>
          <t xml:space="preserve">18 h</t>
        </is>
      </c>
      <c r="D317" s="127" t="inlineStr">
        <is>
          <t xml:space="preserve">Salón</t>
        </is>
      </c>
      <c r="E317" s="88">
        <v>3300</v>
      </c>
      <c r="F317" s="152" t="inlineStr">
        <is>
          <t xml:space="preserve">CAFETERIA</t>
        </is>
      </c>
      <c r="G317" s="152" t="inlineStr">
        <is>
          <t xml:space="preserve">1 CAFE CAPUCCINO</t>
        </is>
      </c>
      <c r="H317" s="293" t="inlineStr">
        <is>
          <t xml:space="preserve">Rechazada</t>
        </is>
      </c>
      <c r="I317" s="152" t="inlineStr">
        <is>
          <t xml:space="preserve"/>
        </is>
      </c>
    </row>
    <row r="318">
      <c r="A318" s="151" t="inlineStr">
        <is>
          <t xml:space="preserve">Escalada</t>
        </is>
      </c>
      <c r="B318" s="155" t="inlineStr">
        <is>
          <t xml:space="preserve">Silvia</t>
        </is>
      </c>
      <c r="C318" s="127" t="inlineStr">
        <is>
          <t xml:space="preserve">18 h</t>
        </is>
      </c>
      <c r="D318" s="127" t="inlineStr">
        <is>
          <t xml:space="preserve">PedidosYa</t>
        </is>
      </c>
      <c r="E318" s="88">
        <v>11647</v>
      </c>
      <c r="F318" s="152" t="inlineStr">
        <is>
          <t xml:space="preserve">POSTRES</t>
        </is>
      </c>
      <c r="G318" s="152" t="inlineStr">
        <is>
          <t xml:space="preserve">1 CASATTA EN CAJA X 8</t>
        </is>
      </c>
      <c r="H318" s="294" t="inlineStr">
        <is>
          <t xml:space="preserve">No ofrecida</t>
        </is>
      </c>
      <c r="I318" s="152" t="inlineStr">
        <is>
          <t xml:space="preserve"/>
        </is>
      </c>
    </row>
    <row r="319">
      <c r="A319" s="151" t="inlineStr">
        <is>
          <t xml:space="preserve">Escalada</t>
        </is>
      </c>
      <c r="B319" s="155" t="inlineStr">
        <is>
          <t xml:space="preserve">Silvia</t>
        </is>
      </c>
      <c r="C319" s="127" t="inlineStr">
        <is>
          <t xml:space="preserve">18 h</t>
        </is>
      </c>
      <c r="D319" s="127" t="inlineStr">
        <is>
          <t xml:space="preserve">Salón</t>
        </is>
      </c>
      <c r="E319" s="88">
        <v>17600</v>
      </c>
      <c r="F319" s="152" t="inlineStr">
        <is>
          <t xml:space="preserve">TENTACION</t>
        </is>
      </c>
      <c r="G319" s="152" t="inlineStr">
        <is>
          <t xml:space="preserve">1 T.CR.AMERICANA + 1 T. CHOC.ALMENDRAS</t>
        </is>
      </c>
      <c r="H319" s="293" t="inlineStr">
        <is>
          <t xml:space="preserve">Rechazada</t>
        </is>
      </c>
      <c r="I319" s="152" t="inlineStr">
        <is>
          <t xml:space="preserve"/>
        </is>
      </c>
    </row>
    <row r="320">
      <c r="A320" s="151" t="inlineStr">
        <is>
          <t xml:space="preserve">Escalada</t>
        </is>
      </c>
      <c r="B320" s="155" t="inlineStr">
        <is>
          <t xml:space="preserve">Silvia</t>
        </is>
      </c>
      <c r="C320" s="127" t="inlineStr">
        <is>
          <t xml:space="preserve">18 h</t>
        </is>
      </c>
      <c r="D320" s="127" t="inlineStr">
        <is>
          <t xml:space="preserve">Salón</t>
        </is>
      </c>
      <c r="E320" s="88">
        <v>17500</v>
      </c>
      <c r="F320" s="152" t="inlineStr">
        <is>
          <t xml:space="preserve">TORTAS</t>
        </is>
      </c>
      <c r="G320" s="152" t="inlineStr">
        <is>
          <t xml:space="preserve">1 TORTA COOKIES AND CREAM</t>
        </is>
      </c>
      <c r="H320" s="293" t="inlineStr">
        <is>
          <t xml:space="preserve">Rechazada</t>
        </is>
      </c>
      <c r="I320" s="152" t="inlineStr">
        <is>
          <t xml:space="preserve"/>
        </is>
      </c>
    </row>
    <row r="321">
      <c r="A321" s="151" t="inlineStr">
        <is>
          <t xml:space="preserve">Escalada</t>
        </is>
      </c>
      <c r="B321" s="155" t="inlineStr">
        <is>
          <t xml:space="preserve">Silvia</t>
        </is>
      </c>
      <c r="C321" s="127" t="inlineStr">
        <is>
          <t xml:space="preserve">18 h</t>
        </is>
      </c>
      <c r="D321" s="127" t="inlineStr">
        <is>
          <t xml:space="preserve">Salón</t>
        </is>
      </c>
      <c r="E321" s="88">
        <v>1200</v>
      </c>
      <c r="F321" s="152" t="inlineStr">
        <is>
          <t xml:space="preserve">CAFETERIA</t>
        </is>
      </c>
      <c r="G321" s="152" t="inlineStr">
        <is>
          <t xml:space="preserve">2 MATE COCIDO GRANDE</t>
        </is>
      </c>
      <c r="H321" s="294" t="inlineStr">
        <is>
          <t xml:space="preserve">No ofrecida</t>
        </is>
      </c>
      <c r="I321" s="152" t="inlineStr">
        <is>
          <t xml:space="preserve"/>
        </is>
      </c>
    </row>
    <row r="322">
      <c r="A322" s="151" t="inlineStr">
        <is>
          <t xml:space="preserve">Escalada</t>
        </is>
      </c>
      <c r="B322" s="155" t="inlineStr">
        <is>
          <t xml:space="preserve">Silvia</t>
        </is>
      </c>
      <c r="C322" s="127" t="inlineStr">
        <is>
          <t xml:space="preserve">18 h</t>
        </is>
      </c>
      <c r="D322" s="127" t="inlineStr">
        <is>
          <t xml:space="preserve">Salón</t>
        </is>
      </c>
      <c r="E322" s="88">
        <v>4300</v>
      </c>
      <c r="F322" s="152" t="inlineStr">
        <is>
          <t xml:space="preserve">HELADO X BOCHA</t>
        </is>
      </c>
      <c r="G322" s="152" t="inlineStr">
        <is>
          <t xml:space="preserve">1 GIGANTE 2 BOCHAS + 1 PALITO FRUTAL FRUTILLA X UNIDAD</t>
        </is>
      </c>
      <c r="H322" s="293" t="inlineStr">
        <is>
          <t xml:space="preserve">Rechazada</t>
        </is>
      </c>
      <c r="I322" s="152" t="inlineStr">
        <is>
          <t xml:space="preserve"/>
        </is>
      </c>
    </row>
    <row r="323">
      <c r="A323" s="151" t="inlineStr">
        <is>
          <t xml:space="preserve">Escalada</t>
        </is>
      </c>
      <c r="B323" s="155" t="inlineStr">
        <is>
          <t xml:space="preserve">Silvia</t>
        </is>
      </c>
      <c r="C323" s="127" t="inlineStr">
        <is>
          <t xml:space="preserve">18 h</t>
        </is>
      </c>
      <c r="D323" s="127" t="inlineStr">
        <is>
          <t xml:space="preserve">Salón</t>
        </is>
      </c>
      <c r="E323" s="88">
        <v>14900</v>
      </c>
      <c r="F323" s="152" t="inlineStr">
        <is>
          <t xml:space="preserve">HELADO X BOCHA</t>
        </is>
      </c>
      <c r="G323" s="152" t="inlineStr">
        <is>
          <t xml:space="preserve">3 GIGANTE 2 BOCHAS + 1 GRIDOTOY 1 B.TACITA PUQUI MUCHI</t>
        </is>
      </c>
      <c r="H323" s="293" t="inlineStr">
        <is>
          <t xml:space="preserve">Rechazada</t>
        </is>
      </c>
      <c r="I323" s="152" t="inlineStr">
        <is>
          <t xml:space="preserve"/>
        </is>
      </c>
    </row>
    <row r="324">
      <c r="A324" s="151" t="inlineStr">
        <is>
          <t xml:space="preserve">Escalada</t>
        </is>
      </c>
      <c r="B324" s="155" t="inlineStr">
        <is>
          <t xml:space="preserve">Silvia</t>
        </is>
      </c>
      <c r="C324" s="127" t="inlineStr">
        <is>
          <t xml:space="preserve">18 h</t>
        </is>
      </c>
      <c r="D324" s="127" t="inlineStr">
        <is>
          <t xml:space="preserve">Salón</t>
        </is>
      </c>
      <c r="E324" s="88">
        <v>5000</v>
      </c>
      <c r="F324" s="152" t="inlineStr">
        <is>
          <t xml:space="preserve">HELADO X BOCHA</t>
        </is>
      </c>
      <c r="G324" s="152" t="inlineStr">
        <is>
          <t xml:space="preserve">1 GRIDOTOY 2 B. CUCU PUQUI MUCHI</t>
        </is>
      </c>
      <c r="H324" s="293" t="inlineStr">
        <is>
          <t xml:space="preserve">Rechazada</t>
        </is>
      </c>
      <c r="I324" s="152" t="inlineStr">
        <is>
          <t xml:space="preserve"/>
        </is>
      </c>
    </row>
    <row r="325">
      <c r="A325" s="151" t="inlineStr">
        <is>
          <t xml:space="preserve">Escalada</t>
        </is>
      </c>
      <c r="B325" s="155" t="inlineStr">
        <is>
          <t xml:space="preserve">Silvia</t>
        </is>
      </c>
      <c r="C325" s="127" t="inlineStr">
        <is>
          <t xml:space="preserve">18 h</t>
        </is>
      </c>
      <c r="D325" s="127" t="inlineStr">
        <is>
          <t xml:space="preserve">Salón</t>
        </is>
      </c>
      <c r="E325" s="88">
        <v>10800</v>
      </c>
      <c r="F325" s="152" t="inlineStr">
        <is>
          <t xml:space="preserve">TENTACION</t>
        </is>
      </c>
      <c r="G325" s="152" t="inlineStr">
        <is>
          <t xml:space="preserve">1 TODDY GALLETITAS</t>
        </is>
      </c>
      <c r="H325" s="227" t="inlineStr">
        <is>
          <t xml:space="preserve">Aceptada</t>
        </is>
      </c>
      <c r="I325" s="155" t="inlineStr">
        <is>
          <t xml:space="preserve">1 BOMBON FRUTEZZA XU.</t>
        </is>
      </c>
    </row>
    <row r="326">
      <c r="A326" s="151" t="inlineStr">
        <is>
          <t xml:space="preserve">Escalada</t>
        </is>
      </c>
      <c r="B326" s="155" t="inlineStr">
        <is>
          <t xml:space="preserve">Silvia</t>
        </is>
      </c>
      <c r="C326" s="127" t="inlineStr">
        <is>
          <t xml:space="preserve">18 h</t>
        </is>
      </c>
      <c r="D326" s="127" t="inlineStr">
        <is>
          <t xml:space="preserve">PedidosYa</t>
        </is>
      </c>
      <c r="E326" s="88">
        <v>8400</v>
      </c>
      <c r="F326" s="152" t="inlineStr">
        <is>
          <t xml:space="preserve">PALITOS</t>
        </is>
      </c>
      <c r="G326" s="152" t="inlineStr">
        <is>
          <t xml:space="preserve">1 PALITO BOMBÓN X10 UN.</t>
        </is>
      </c>
      <c r="H326" s="294" t="inlineStr">
        <is>
          <t xml:space="preserve">No ofrecida</t>
        </is>
      </c>
      <c r="I326" s="152" t="inlineStr">
        <is>
          <t xml:space="preserve"/>
        </is>
      </c>
    </row>
    <row r="327">
      <c r="A327" s="151" t="inlineStr">
        <is>
          <t xml:space="preserve">Escalada</t>
        </is>
      </c>
      <c r="B327" s="155" t="inlineStr">
        <is>
          <t xml:space="preserve">Silvia</t>
        </is>
      </c>
      <c r="C327" s="127" t="inlineStr">
        <is>
          <t xml:space="preserve">18 h</t>
        </is>
      </c>
      <c r="D327" s="127" t="inlineStr">
        <is>
          <t xml:space="preserve">Salón</t>
        </is>
      </c>
      <c r="E327" s="88">
        <v>14700</v>
      </c>
      <c r="F327" s="152" t="inlineStr">
        <is>
          <t xml:space="preserve">HELADO X BOCHA</t>
        </is>
      </c>
      <c r="G327" s="152" t="inlineStr">
        <is>
          <t xml:space="preserve">1 TACITA 3 BOCHAS + 1 MINI GIGANTE</t>
        </is>
      </c>
      <c r="H327" s="227" t="inlineStr">
        <is>
          <t xml:space="preserve">Aceptada</t>
        </is>
      </c>
      <c r="I327" s="155" t="inlineStr">
        <is>
          <t xml:space="preserve">1 1/2  KILO</t>
        </is>
      </c>
    </row>
    <row r="328">
      <c r="A328" s="151" t="inlineStr">
        <is>
          <t xml:space="preserve">Escalada</t>
        </is>
      </c>
      <c r="B328" s="155" t="inlineStr">
        <is>
          <t xml:space="preserve">Silvia</t>
        </is>
      </c>
      <c r="C328" s="127" t="inlineStr">
        <is>
          <t xml:space="preserve">19 h</t>
        </is>
      </c>
      <c r="D328" s="127" t="inlineStr">
        <is>
          <t xml:space="preserve">PedidosYa</t>
        </is>
      </c>
      <c r="E328" s="88">
        <v>9950</v>
      </c>
      <c r="F328" s="152" t="inlineStr">
        <is>
          <t xml:space="preserve">HELADO X  KILO</t>
        </is>
      </c>
      <c r="G328" s="152" t="inlineStr">
        <is>
          <t xml:space="preserve">1 1 KILO</t>
        </is>
      </c>
      <c r="H328" s="294" t="inlineStr">
        <is>
          <t xml:space="preserve">No ofrecida</t>
        </is>
      </c>
      <c r="I328" s="152" t="inlineStr">
        <is>
          <t xml:space="preserve"/>
        </is>
      </c>
    </row>
    <row r="329">
      <c r="A329" s="151" t="inlineStr">
        <is>
          <t xml:space="preserve">Escalada</t>
        </is>
      </c>
      <c r="B329" s="155" t="inlineStr">
        <is>
          <t xml:space="preserve">Silvia</t>
        </is>
      </c>
      <c r="C329" s="127" t="inlineStr">
        <is>
          <t xml:space="preserve">19 h</t>
        </is>
      </c>
      <c r="D329" s="127" t="inlineStr">
        <is>
          <t xml:space="preserve">PedidosYa</t>
        </is>
      </c>
      <c r="E329" s="88">
        <v>13930</v>
      </c>
      <c r="F329" s="152" t="inlineStr">
        <is>
          <t xml:space="preserve">HELADO X  KILO</t>
        </is>
      </c>
      <c r="G329" s="152" t="inlineStr">
        <is>
          <t xml:space="preserve">1 1 KILO</t>
        </is>
      </c>
      <c r="H329" s="294" t="inlineStr">
        <is>
          <t xml:space="preserve">No ofrecida</t>
        </is>
      </c>
      <c r="I329" s="152" t="inlineStr">
        <is>
          <t xml:space="preserve"/>
        </is>
      </c>
    </row>
    <row r="330">
      <c r="A330" s="151" t="inlineStr">
        <is>
          <t xml:space="preserve">Escalada</t>
        </is>
      </c>
      <c r="B330" s="155" t="inlineStr">
        <is>
          <t xml:space="preserve">Silvia</t>
        </is>
      </c>
      <c r="C330" s="127" t="inlineStr">
        <is>
          <t xml:space="preserve">19 h</t>
        </is>
      </c>
      <c r="D330" s="127" t="inlineStr">
        <is>
          <t xml:space="preserve">PedidosYa</t>
        </is>
      </c>
      <c r="E330" s="88">
        <v>13930</v>
      </c>
      <c r="F330" s="152" t="inlineStr">
        <is>
          <t xml:space="preserve">HELADO X  KILO</t>
        </is>
      </c>
      <c r="G330" s="152" t="inlineStr">
        <is>
          <t xml:space="preserve">1 1 KILO</t>
        </is>
      </c>
      <c r="H330" s="294" t="inlineStr">
        <is>
          <t xml:space="preserve">No ofrecida</t>
        </is>
      </c>
      <c r="I330" s="152" t="inlineStr">
        <is>
          <t xml:space="preserve"/>
        </is>
      </c>
    </row>
    <row r="331">
      <c r="A331" s="151" t="inlineStr">
        <is>
          <t xml:space="preserve">Escalada</t>
        </is>
      </c>
      <c r="B331" s="155" t="inlineStr">
        <is>
          <t xml:space="preserve">Silvia</t>
        </is>
      </c>
      <c r="C331" s="127" t="inlineStr">
        <is>
          <t xml:space="preserve">19 h</t>
        </is>
      </c>
      <c r="D331" s="127" t="inlineStr">
        <is>
          <t xml:space="preserve">Salón</t>
        </is>
      </c>
      <c r="E331" s="88">
        <v>4300</v>
      </c>
      <c r="F331" s="152" t="inlineStr">
        <is>
          <t xml:space="preserve">GRIDOS</t>
        </is>
      </c>
      <c r="G331" s="152" t="inlineStr">
        <is>
          <t xml:space="preserve">1 GRIDO BATIDO</t>
        </is>
      </c>
      <c r="H331" s="293" t="inlineStr">
        <is>
          <t xml:space="preserve">Rechazada</t>
        </is>
      </c>
      <c r="I331" s="152" t="inlineStr">
        <is>
          <t xml:space="preserve"/>
        </is>
      </c>
    </row>
    <row r="332">
      <c r="A332" s="156" t="inlineStr">
        <is>
          <t xml:space="preserve">Lanus Oeste</t>
        </is>
      </c>
      <c r="B332" s="160" t="inlineStr">
        <is>
          <t xml:space="preserve">Agustin</t>
        </is>
      </c>
      <c r="C332" s="133" t="inlineStr">
        <is>
          <t xml:space="preserve">17 h</t>
        </is>
      </c>
      <c r="D332" s="133" t="inlineStr">
        <is>
          <t xml:space="preserve">Salón</t>
        </is>
      </c>
      <c r="E332" s="93">
        <v>25200</v>
      </c>
      <c r="F332" s="157" t="inlineStr">
        <is>
          <t xml:space="preserve">HELADO X  KILO</t>
        </is>
      </c>
      <c r="G332" s="157" t="inlineStr">
        <is>
          <t xml:space="preserve">1 1 KILO + 1 PALITO BOMBÓN X10 UN. + 1 PALITO BOMBÓN X10 UN.</t>
        </is>
      </c>
      <c r="H332" s="293" t="inlineStr">
        <is>
          <t xml:space="preserve">Rechazada</t>
        </is>
      </c>
      <c r="I332" s="157" t="inlineStr">
        <is>
          <t xml:space="preserve"/>
        </is>
      </c>
    </row>
    <row r="333">
      <c r="A333" s="156" t="inlineStr">
        <is>
          <t xml:space="preserve">Lanus Oeste</t>
        </is>
      </c>
      <c r="B333" s="160" t="inlineStr">
        <is>
          <t xml:space="preserve">Agustin</t>
        </is>
      </c>
      <c r="C333" s="133" t="inlineStr">
        <is>
          <t xml:space="preserve">18 h</t>
        </is>
      </c>
      <c r="D333" s="133" t="inlineStr">
        <is>
          <t xml:space="preserve">Salón</t>
        </is>
      </c>
      <c r="E333" s="93">
        <v>17500</v>
      </c>
      <c r="F333" s="157" t="inlineStr">
        <is>
          <t xml:space="preserve">TORTAS</t>
        </is>
      </c>
      <c r="G333" s="157" t="inlineStr">
        <is>
          <t xml:space="preserve">1 TORTA COOKIES AND CREAM</t>
        </is>
      </c>
      <c r="H333" s="293" t="inlineStr">
        <is>
          <t xml:space="preserve">Rechazada</t>
        </is>
      </c>
      <c r="I333" s="157" t="inlineStr">
        <is>
          <t xml:space="preserve"/>
        </is>
      </c>
    </row>
    <row r="334">
      <c r="A334" s="156" t="inlineStr">
        <is>
          <t xml:space="preserve">Lanus Oeste</t>
        </is>
      </c>
      <c r="B334" s="160" t="inlineStr">
        <is>
          <t xml:space="preserve">Agustin</t>
        </is>
      </c>
      <c r="C334" s="133" t="inlineStr">
        <is>
          <t xml:space="preserve">19 h</t>
        </is>
      </c>
      <c r="D334" s="133" t="inlineStr">
        <is>
          <t xml:space="preserve">PediGrido</t>
        </is>
      </c>
      <c r="E334" s="93">
        <v>25350</v>
      </c>
      <c r="F334" s="157" t="inlineStr">
        <is>
          <t xml:space="preserve">HELADO X  KILO</t>
        </is>
      </c>
      <c r="G334" s="157" t="inlineStr">
        <is>
          <t xml:space="preserve">1 1 KILO + 1 1 KILO</t>
        </is>
      </c>
      <c r="H334" s="294" t="inlineStr">
        <is>
          <t xml:space="preserve">No ofrecida</t>
        </is>
      </c>
      <c r="I334" s="157" t="inlineStr">
        <is>
          <t xml:space="preserve"/>
        </is>
      </c>
    </row>
    <row r="335">
      <c r="A335" s="156" t="inlineStr">
        <is>
          <t xml:space="preserve">Lanus Oeste</t>
        </is>
      </c>
      <c r="B335" s="160" t="inlineStr">
        <is>
          <t xml:space="preserve">Agustin</t>
        </is>
      </c>
      <c r="C335" s="133" t="inlineStr">
        <is>
          <t xml:space="preserve">19 h</t>
        </is>
      </c>
      <c r="D335" s="133" t="inlineStr">
        <is>
          <t xml:space="preserve">PediGrido</t>
        </is>
      </c>
      <c r="E335" s="93">
        <v>26900</v>
      </c>
      <c r="F335" s="157" t="inlineStr">
        <is>
          <t xml:space="preserve">HELADO X  KILO</t>
        </is>
      </c>
      <c r="G335" s="157" t="inlineStr">
        <is>
          <t xml:space="preserve">1 1 KILO + 1 1/2  KILO + 1 ENVIO A DOMICILIO</t>
        </is>
      </c>
      <c r="H335" s="294" t="inlineStr">
        <is>
          <t xml:space="preserve">No ofrecida</t>
        </is>
      </c>
      <c r="I335" s="157" t="inlineStr">
        <is>
          <t xml:space="preserve"/>
        </is>
      </c>
    </row>
    <row r="336">
      <c r="A336" s="156" t="inlineStr">
        <is>
          <t xml:space="preserve">Lanus Oeste</t>
        </is>
      </c>
      <c r="B336" s="160" t="inlineStr">
        <is>
          <t xml:space="preserve">Agustin</t>
        </is>
      </c>
      <c r="C336" s="133" t="inlineStr">
        <is>
          <t xml:space="preserve">19 h</t>
        </is>
      </c>
      <c r="D336" s="133" t="inlineStr">
        <is>
          <t xml:space="preserve">PediGrido</t>
        </is>
      </c>
      <c r="E336" s="93">
        <v>35200</v>
      </c>
      <c r="F336" s="157" t="inlineStr">
        <is>
          <t xml:space="preserve">FAMILIAR</t>
        </is>
      </c>
      <c r="G336" s="157" t="inlineStr">
        <is>
          <t xml:space="preserve">1 FAMNº1 (CHOCOLATE/D.LECHE/AMERICANA) + 1 FAMNº2 (AMERICANA/FRUTILLA/DDL GRANIZADO)</t>
        </is>
      </c>
      <c r="H336" s="294" t="inlineStr">
        <is>
          <t xml:space="preserve">No ofrecida</t>
        </is>
      </c>
      <c r="I336" s="157" t="inlineStr">
        <is>
          <t xml:space="preserve"/>
        </is>
      </c>
    </row>
    <row r="337">
      <c r="A337" s="156" t="inlineStr">
        <is>
          <t xml:space="preserve">Lanus Oeste</t>
        </is>
      </c>
      <c r="B337" s="160" t="inlineStr">
        <is>
          <t xml:space="preserve">Agustin</t>
        </is>
      </c>
      <c r="C337" s="133" t="inlineStr">
        <is>
          <t xml:space="preserve">20 h</t>
        </is>
      </c>
      <c r="D337" s="133" t="inlineStr">
        <is>
          <t xml:space="preserve">Salón</t>
        </is>
      </c>
      <c r="E337" s="93">
        <v>4200</v>
      </c>
      <c r="F337" s="157" t="inlineStr">
        <is>
          <t xml:space="preserve">HELADO X BOCHA</t>
        </is>
      </c>
      <c r="G337" s="157" t="inlineStr">
        <is>
          <t xml:space="preserve">1 TACITA 2 BOCHAS + 1 GRIDO TOPS MINI ROCKLETS</t>
        </is>
      </c>
      <c r="H337" s="293" t="inlineStr">
        <is>
          <t xml:space="preserve">Rechazada</t>
        </is>
      </c>
      <c r="I337" s="157" t="inlineStr">
        <is>
          <t xml:space="preserve"/>
        </is>
      </c>
    </row>
    <row r="338">
      <c r="A338" s="156" t="inlineStr">
        <is>
          <t xml:space="preserve">Lanus Oeste</t>
        </is>
      </c>
      <c r="B338" s="160" t="inlineStr">
        <is>
          <t xml:space="preserve">Agustin</t>
        </is>
      </c>
      <c r="C338" s="133" t="inlineStr">
        <is>
          <t xml:space="preserve">20 h</t>
        </is>
      </c>
      <c r="D338" s="133" t="inlineStr">
        <is>
          <t xml:space="preserve">Salón</t>
        </is>
      </c>
      <c r="E338" s="93">
        <v>17500</v>
      </c>
      <c r="F338" s="157" t="inlineStr">
        <is>
          <t xml:space="preserve">TORTAS</t>
        </is>
      </c>
      <c r="G338" s="157" t="inlineStr">
        <is>
          <t xml:space="preserve">1 TORTA FRUTILLAS CON CREMA</t>
        </is>
      </c>
      <c r="H338" s="293" t="inlineStr">
        <is>
          <t xml:space="preserve">Rechazada</t>
        </is>
      </c>
      <c r="I338" s="157" t="inlineStr">
        <is>
          <t xml:space="preserve"/>
        </is>
      </c>
    </row>
    <row r="339">
      <c r="A339" s="156" t="inlineStr">
        <is>
          <t xml:space="preserve">Lanus Oeste</t>
        </is>
      </c>
      <c r="B339" s="160" t="inlineStr">
        <is>
          <t xml:space="preserve">Agustin</t>
        </is>
      </c>
      <c r="C339" s="133" t="inlineStr">
        <is>
          <t xml:space="preserve">21 h</t>
        </is>
      </c>
      <c r="D339" s="133" t="inlineStr">
        <is>
          <t xml:space="preserve">Salón</t>
        </is>
      </c>
      <c r="E339" s="93">
        <v>22500</v>
      </c>
      <c r="F339" s="157" t="inlineStr">
        <is>
          <t xml:space="preserve">HELADO X  KILO</t>
        </is>
      </c>
      <c r="G339" s="157" t="inlineStr">
        <is>
          <t xml:space="preserve">1 1 KILO + 1 FRAMBUESAS DOBLE CHOCOLATE - GRIDO</t>
        </is>
      </c>
      <c r="H339" s="293" t="inlineStr">
        <is>
          <t xml:space="preserve">Rechazada</t>
        </is>
      </c>
      <c r="I339" s="157" t="inlineStr">
        <is>
          <t xml:space="preserve"/>
        </is>
      </c>
    </row>
    <row r="340">
      <c r="A340" s="156" t="inlineStr">
        <is>
          <t xml:space="preserve">Lanus Oeste</t>
        </is>
      </c>
      <c r="B340" s="160" t="inlineStr">
        <is>
          <t xml:space="preserve">Agustin</t>
        </is>
      </c>
      <c r="C340" s="133" t="inlineStr">
        <is>
          <t xml:space="preserve">21 h</t>
        </is>
      </c>
      <c r="D340" s="133" t="inlineStr">
        <is>
          <t xml:space="preserve">PediGrido</t>
        </is>
      </c>
      <c r="E340" s="93">
        <v>12800</v>
      </c>
      <c r="F340" s="157" t="inlineStr">
        <is>
          <t xml:space="preserve">HELADO X  KILO</t>
        </is>
      </c>
      <c r="G340" s="157" t="inlineStr">
        <is>
          <t xml:space="preserve">1 1/4  KILO + 1 1/4  KILO + 1 1/4  KILO</t>
        </is>
      </c>
      <c r="H340" s="294" t="inlineStr">
        <is>
          <t xml:space="preserve">No ofrecida</t>
        </is>
      </c>
      <c r="I340" s="157" t="inlineStr">
        <is>
          <t xml:space="preserve"/>
        </is>
      </c>
    </row>
    <row r="341">
      <c r="A341" s="156" t="inlineStr">
        <is>
          <t xml:space="preserve">Lanus Oeste</t>
        </is>
      </c>
      <c r="B341" s="160" t="inlineStr">
        <is>
          <t xml:space="preserve">Agustin</t>
        </is>
      </c>
      <c r="C341" s="133" t="inlineStr">
        <is>
          <t xml:space="preserve">23 h</t>
        </is>
      </c>
      <c r="D341" s="133" t="inlineStr">
        <is>
          <t xml:space="preserve">PediGrido</t>
        </is>
      </c>
      <c r="E341" s="93">
        <v>31510</v>
      </c>
      <c r="F341" s="157" t="inlineStr">
        <is>
          <t xml:space="preserve">TENTACION</t>
        </is>
      </c>
      <c r="G341" s="157" t="inlineStr">
        <is>
          <t xml:space="preserve">1 TODDY GALLETITAS + 1 T.1 LT FRUTILLA + 1 T.DDLECHE + 1 PALITO BOMBÓN X10 UN. + 1 ENVIO A DOMICILIO</t>
        </is>
      </c>
      <c r="H341" s="294" t="inlineStr">
        <is>
          <t xml:space="preserve">No ofrecida</t>
        </is>
      </c>
      <c r="I341" s="157" t="inlineStr">
        <is>
          <t xml:space="preserve"/>
        </is>
      </c>
    </row>
    <row r="342">
      <c r="A342" s="156" t="inlineStr">
        <is>
          <t xml:space="preserve">Lanus Oeste</t>
        </is>
      </c>
      <c r="B342" s="160" t="inlineStr">
        <is>
          <t xml:space="preserve">Agustin</t>
        </is>
      </c>
      <c r="C342" s="133" t="inlineStr">
        <is>
          <t xml:space="preserve">23 h</t>
        </is>
      </c>
      <c r="D342" s="133" t="inlineStr">
        <is>
          <t xml:space="preserve">PediGrido</t>
        </is>
      </c>
      <c r="E342" s="93">
        <v>20100</v>
      </c>
      <c r="F342" s="157" t="inlineStr">
        <is>
          <t xml:space="preserve">HELADO X  KILO</t>
        </is>
      </c>
      <c r="G342" s="157" t="inlineStr">
        <is>
          <t xml:space="preserve">1 1 KILO + 1 1/4  KILO</t>
        </is>
      </c>
      <c r="H342" s="294" t="inlineStr">
        <is>
          <t xml:space="preserve">No ofrecida</t>
        </is>
      </c>
      <c r="I342" s="157" t="inlineStr">
        <is>
          <t xml:space="preserve"/>
        </is>
      </c>
    </row>
    <row r="343">
      <c r="A343" s="156" t="inlineStr">
        <is>
          <t xml:space="preserve">Lanus Oeste</t>
        </is>
      </c>
      <c r="B343" s="160" t="inlineStr">
        <is>
          <t xml:space="preserve">Fiorella</t>
        </is>
      </c>
      <c r="C343" s="133" t="inlineStr">
        <is>
          <t xml:space="preserve">10 h</t>
        </is>
      </c>
      <c r="D343" s="133" t="inlineStr">
        <is>
          <t xml:space="preserve">Salón</t>
        </is>
      </c>
      <c r="E343" s="93">
        <v>17500</v>
      </c>
      <c r="F343" s="157" t="inlineStr">
        <is>
          <t xml:space="preserve">TORTAS</t>
        </is>
      </c>
      <c r="G343" s="157" t="inlineStr">
        <is>
          <t xml:space="preserve">1 TORTA GRIDO RELLENA</t>
        </is>
      </c>
      <c r="H343" s="293" t="inlineStr">
        <is>
          <t xml:space="preserve">Rechazada</t>
        </is>
      </c>
      <c r="I343" s="157" t="inlineStr">
        <is>
          <t xml:space="preserve"/>
        </is>
      </c>
    </row>
    <row r="344">
      <c r="A344" s="156" t="inlineStr">
        <is>
          <t xml:space="preserve">Lanus Oeste</t>
        </is>
      </c>
      <c r="B344" s="160" t="inlineStr">
        <is>
          <t xml:space="preserve">Fiorella</t>
        </is>
      </c>
      <c r="C344" s="133" t="inlineStr">
        <is>
          <t xml:space="preserve">12 h</t>
        </is>
      </c>
      <c r="D344" s="133" t="inlineStr">
        <is>
          <t xml:space="preserve">Salón</t>
        </is>
      </c>
      <c r="E344" s="93">
        <v>13520</v>
      </c>
      <c r="F344" s="157" t="inlineStr">
        <is>
          <t xml:space="preserve">HELADO X  KILO</t>
        </is>
      </c>
      <c r="G344" s="157" t="inlineStr">
        <is>
          <t xml:space="preserve">1 1 KILO</t>
        </is>
      </c>
      <c r="H344" s="293" t="inlineStr">
        <is>
          <t xml:space="preserve">Rechazada</t>
        </is>
      </c>
      <c r="I344" s="157" t="inlineStr">
        <is>
          <t xml:space="preserve"/>
        </is>
      </c>
    </row>
    <row r="345">
      <c r="A345" s="156" t="inlineStr">
        <is>
          <t xml:space="preserve">Lanus Oeste</t>
        </is>
      </c>
      <c r="B345" s="160" t="inlineStr">
        <is>
          <t xml:space="preserve">Fiorella</t>
        </is>
      </c>
      <c r="C345" s="133" t="inlineStr">
        <is>
          <t xml:space="preserve">12 h</t>
        </is>
      </c>
      <c r="D345" s="133" t="inlineStr">
        <is>
          <t xml:space="preserve">Salón</t>
        </is>
      </c>
      <c r="E345" s="93">
        <v>7400</v>
      </c>
      <c r="F345" s="157" t="inlineStr">
        <is>
          <t xml:space="preserve">HELADO X  KILO</t>
        </is>
      </c>
      <c r="G345" s="157" t="inlineStr">
        <is>
          <t xml:space="preserve">1 1/4  KILO + 1 CUPS VASITO X 5UNI</t>
        </is>
      </c>
      <c r="H345" s="293" t="inlineStr">
        <is>
          <t xml:space="preserve">Rechazada</t>
        </is>
      </c>
      <c r="I345" s="157" t="inlineStr">
        <is>
          <t xml:space="preserve"/>
        </is>
      </c>
    </row>
    <row r="346">
      <c r="A346" s="156" t="inlineStr">
        <is>
          <t xml:space="preserve">Lanus Oeste</t>
        </is>
      </c>
      <c r="B346" s="160" t="inlineStr">
        <is>
          <t xml:space="preserve">Fiorella</t>
        </is>
      </c>
      <c r="C346" s="133" t="inlineStr">
        <is>
          <t xml:space="preserve">12 h</t>
        </is>
      </c>
      <c r="D346" s="133" t="inlineStr">
        <is>
          <t xml:space="preserve">Salón</t>
        </is>
      </c>
      <c r="E346" s="93">
        <v>17500</v>
      </c>
      <c r="F346" s="157" t="inlineStr">
        <is>
          <t xml:space="preserve">TORTAS</t>
        </is>
      </c>
      <c r="G346" s="157" t="inlineStr">
        <is>
          <t xml:space="preserve">1 TORTA FRUTILLAS CON CREMA</t>
        </is>
      </c>
      <c r="H346" s="293" t="inlineStr">
        <is>
          <t xml:space="preserve">Rechazada</t>
        </is>
      </c>
      <c r="I346" s="157" t="inlineStr">
        <is>
          <t xml:space="preserve"/>
        </is>
      </c>
    </row>
    <row r="347">
      <c r="A347" s="156" t="inlineStr">
        <is>
          <t xml:space="preserve">Lanus Oeste</t>
        </is>
      </c>
      <c r="B347" s="160" t="inlineStr">
        <is>
          <t xml:space="preserve">Fiorella</t>
        </is>
      </c>
      <c r="C347" s="133" t="inlineStr">
        <is>
          <t xml:space="preserve">12 h</t>
        </is>
      </c>
      <c r="D347" s="133" t="inlineStr">
        <is>
          <t xml:space="preserve">Salón</t>
        </is>
      </c>
      <c r="E347" s="93">
        <v>17600</v>
      </c>
      <c r="F347" s="157" t="inlineStr">
        <is>
          <t xml:space="preserve">FAMILIAR</t>
        </is>
      </c>
      <c r="G347" s="157" t="inlineStr">
        <is>
          <t xml:space="preserve">1 FAMNº3 (VAINILLA/FRUTILLA/GRANIZADO)</t>
        </is>
      </c>
      <c r="H347" s="293" t="inlineStr">
        <is>
          <t xml:space="preserve">Rechazada</t>
        </is>
      </c>
      <c r="I347" s="157" t="inlineStr">
        <is>
          <t xml:space="preserve"/>
        </is>
      </c>
    </row>
    <row r="348">
      <c r="A348" s="156" t="inlineStr">
        <is>
          <t xml:space="preserve">Lanus Oeste</t>
        </is>
      </c>
      <c r="B348" s="160" t="inlineStr">
        <is>
          <t xml:space="preserve">Fiorella</t>
        </is>
      </c>
      <c r="C348" s="133" t="inlineStr">
        <is>
          <t xml:space="preserve">12 h</t>
        </is>
      </c>
      <c r="D348" s="133" t="inlineStr">
        <is>
          <t xml:space="preserve">Salón</t>
        </is>
      </c>
      <c r="E348" s="93">
        <v>28600</v>
      </c>
      <c r="F348" s="157" t="inlineStr">
        <is>
          <t xml:space="preserve">POSTRES</t>
        </is>
      </c>
      <c r="G348" s="157" t="inlineStr">
        <is>
          <t xml:space="preserve">2 BOMBON ESCOCES EN CAJA X 8</t>
        </is>
      </c>
      <c r="H348" s="293" t="inlineStr">
        <is>
          <t xml:space="preserve">Rechazada</t>
        </is>
      </c>
      <c r="I348" s="157" t="inlineStr">
        <is>
          <t xml:space="preserve"/>
        </is>
      </c>
    </row>
    <row r="349">
      <c r="A349" s="156" t="inlineStr">
        <is>
          <t xml:space="preserve">Lanus Oeste</t>
        </is>
      </c>
      <c r="B349" s="160" t="inlineStr">
        <is>
          <t xml:space="preserve">Fiorella</t>
        </is>
      </c>
      <c r="C349" s="133" t="inlineStr">
        <is>
          <t xml:space="preserve">12 h</t>
        </is>
      </c>
      <c r="D349" s="133" t="inlineStr">
        <is>
          <t xml:space="preserve">Salón</t>
        </is>
      </c>
      <c r="E349" s="93">
        <v>14300</v>
      </c>
      <c r="F349" s="157" t="inlineStr">
        <is>
          <t xml:space="preserve">POSTRES</t>
        </is>
      </c>
      <c r="G349" s="157" t="inlineStr">
        <is>
          <t xml:space="preserve">1 BOMBON ESCOCES EN CAJA X 8</t>
        </is>
      </c>
      <c r="H349" s="293" t="inlineStr">
        <is>
          <t xml:space="preserve">Rechazada</t>
        </is>
      </c>
      <c r="I349" s="157" t="inlineStr">
        <is>
          <t xml:space="preserve"/>
        </is>
      </c>
    </row>
    <row r="350">
      <c r="A350" s="156" t="inlineStr">
        <is>
          <t xml:space="preserve">Lanus Oeste</t>
        </is>
      </c>
      <c r="B350" s="160" t="inlineStr">
        <is>
          <t xml:space="preserve">Fiorella</t>
        </is>
      </c>
      <c r="C350" s="133" t="inlineStr">
        <is>
          <t xml:space="preserve">14 h</t>
        </is>
      </c>
      <c r="D350" s="133" t="inlineStr">
        <is>
          <t xml:space="preserve">Salón</t>
        </is>
      </c>
      <c r="E350" s="93">
        <v>6400</v>
      </c>
      <c r="F350" s="157" t="inlineStr">
        <is>
          <t xml:space="preserve">HELADO X  KILO</t>
        </is>
      </c>
      <c r="G350" s="157" t="inlineStr">
        <is>
          <t xml:space="preserve">1 1/4  KILO</t>
        </is>
      </c>
      <c r="H350" s="293" t="inlineStr">
        <is>
          <t xml:space="preserve">Rechazada</t>
        </is>
      </c>
      <c r="I350" s="157" t="inlineStr">
        <is>
          <t xml:space="preserve"/>
        </is>
      </c>
    </row>
    <row r="351">
      <c r="A351" s="156" t="inlineStr">
        <is>
          <t xml:space="preserve">Lanus Oeste</t>
        </is>
      </c>
      <c r="B351" s="160" t="inlineStr">
        <is>
          <t xml:space="preserve">Fiorella</t>
        </is>
      </c>
      <c r="C351" s="133" t="inlineStr">
        <is>
          <t xml:space="preserve">15 h</t>
        </is>
      </c>
      <c r="D351" s="133" t="inlineStr">
        <is>
          <t xml:space="preserve">Salón</t>
        </is>
      </c>
      <c r="E351" s="93">
        <v>19800</v>
      </c>
      <c r="F351" s="157" t="inlineStr">
        <is>
          <t xml:space="preserve">FAMILIAR</t>
        </is>
      </c>
      <c r="G351" s="157" t="inlineStr">
        <is>
          <t xml:space="preserve">1 FAMNº4 (D.LECHE G/VAINILLA/CHOCOLATE) + 1 ENVIO A DOMICILIO</t>
        </is>
      </c>
      <c r="H351" s="293" t="inlineStr">
        <is>
          <t xml:space="preserve">Rechazada</t>
        </is>
      </c>
      <c r="I351" s="157" t="inlineStr">
        <is>
          <t xml:space="preserve"/>
        </is>
      </c>
    </row>
    <row r="352">
      <c r="A352" s="156" t="inlineStr">
        <is>
          <t xml:space="preserve">Lanus Oeste</t>
        </is>
      </c>
      <c r="B352" s="160" t="inlineStr">
        <is>
          <t xml:space="preserve">Fiorella</t>
        </is>
      </c>
      <c r="C352" s="133" t="inlineStr">
        <is>
          <t xml:space="preserve">15 h</t>
        </is>
      </c>
      <c r="D352" s="133" t="inlineStr">
        <is>
          <t xml:space="preserve">Salón</t>
        </is>
      </c>
      <c r="E352" s="93">
        <v>19700</v>
      </c>
      <c r="F352" s="157" t="inlineStr">
        <is>
          <t xml:space="preserve">TORTAS</t>
        </is>
      </c>
      <c r="G352" s="157" t="inlineStr">
        <is>
          <t xml:space="preserve">1 TORTA COOKIES AND CREAM + 1 ENVIO A DOMICILIO</t>
        </is>
      </c>
      <c r="H352" s="293" t="inlineStr">
        <is>
          <t xml:space="preserve">Rechazada</t>
        </is>
      </c>
      <c r="I352" s="157" t="inlineStr">
        <is>
          <t xml:space="preserve"/>
        </is>
      </c>
    </row>
    <row r="353">
      <c r="A353" s="156" t="inlineStr">
        <is>
          <t xml:space="preserve">Lanus Oeste</t>
        </is>
      </c>
      <c r="B353" s="160" t="inlineStr">
        <is>
          <t xml:space="preserve">Fiorella</t>
        </is>
      </c>
      <c r="C353" s="133" t="inlineStr">
        <is>
          <t xml:space="preserve">15 h</t>
        </is>
      </c>
      <c r="D353" s="133" t="inlineStr">
        <is>
          <t xml:space="preserve">PediGrido</t>
        </is>
      </c>
      <c r="E353" s="93">
        <v>18400</v>
      </c>
      <c r="F353" s="157" t="inlineStr">
        <is>
          <t xml:space="preserve">HELADO X  KILO</t>
        </is>
      </c>
      <c r="G353" s="157" t="inlineStr">
        <is>
          <t xml:space="preserve">1 1/4  KILO + 1 1/4  KILO + 1 FRAMBUESAS DOBLE CHOCOLATE - GRIDO + 1 1/4  KILO</t>
        </is>
      </c>
      <c r="H353" s="294" t="inlineStr">
        <is>
          <t xml:space="preserve">No ofrecida</t>
        </is>
      </c>
      <c r="I353" s="157" t="inlineStr">
        <is>
          <t xml:space="preserve"/>
        </is>
      </c>
    </row>
    <row r="354">
      <c r="A354" s="156" t="inlineStr">
        <is>
          <t xml:space="preserve">Lanus Oeste</t>
        </is>
      </c>
      <c r="B354" s="160" t="inlineStr">
        <is>
          <t xml:space="preserve">Fiorella</t>
        </is>
      </c>
      <c r="C354" s="133" t="inlineStr">
        <is>
          <t xml:space="preserve">15 h</t>
        </is>
      </c>
      <c r="D354" s="133" t="inlineStr">
        <is>
          <t xml:space="preserve">PediGrido</t>
        </is>
      </c>
      <c r="E354" s="93">
        <v>12800</v>
      </c>
      <c r="F354" s="157" t="inlineStr">
        <is>
          <t xml:space="preserve">HELADO X  KILO</t>
        </is>
      </c>
      <c r="G354" s="157" t="inlineStr">
        <is>
          <t xml:space="preserve">1 1/4  KILO + 1 1/4  KILO + 1 1/4  KILO + 1 ENVIO A DOMICILIO</t>
        </is>
      </c>
      <c r="H354" s="294" t="inlineStr">
        <is>
          <t xml:space="preserve">No ofrecida</t>
        </is>
      </c>
      <c r="I354" s="157" t="inlineStr">
        <is>
          <t xml:space="preserve"/>
        </is>
      </c>
    </row>
    <row r="355">
      <c r="A355" s="156" t="inlineStr">
        <is>
          <t xml:space="preserve">Lanus Oeste</t>
        </is>
      </c>
      <c r="B355" s="160" t="inlineStr">
        <is>
          <t xml:space="preserve">Fiorella</t>
        </is>
      </c>
      <c r="C355" s="133" t="inlineStr">
        <is>
          <t xml:space="preserve">15 h</t>
        </is>
      </c>
      <c r="D355" s="133" t="inlineStr">
        <is>
          <t xml:space="preserve">Salón</t>
        </is>
      </c>
      <c r="E355" s="93">
        <v>19100</v>
      </c>
      <c r="F355" s="157" t="inlineStr">
        <is>
          <t xml:space="preserve">HELADO X  KILO</t>
        </is>
      </c>
      <c r="G355" s="157" t="inlineStr">
        <is>
          <t xml:space="preserve">1 1 KILO + 1 ENVIO A DOMICILIO</t>
        </is>
      </c>
      <c r="H355" s="293" t="inlineStr">
        <is>
          <t xml:space="preserve">Rechazada</t>
        </is>
      </c>
      <c r="I355" s="157" t="inlineStr">
        <is>
          <t xml:space="preserve"/>
        </is>
      </c>
    </row>
    <row r="356">
      <c r="A356" s="156" t="inlineStr">
        <is>
          <t xml:space="preserve">Lanus Oeste</t>
        </is>
      </c>
      <c r="B356" s="160" t="inlineStr">
        <is>
          <t xml:space="preserve">Fiorella</t>
        </is>
      </c>
      <c r="C356" s="133" t="inlineStr">
        <is>
          <t xml:space="preserve">16 h</t>
        </is>
      </c>
      <c r="D356" s="133" t="inlineStr">
        <is>
          <t xml:space="preserve">Salón</t>
        </is>
      </c>
      <c r="E356" s="93">
        <v>12900</v>
      </c>
      <c r="F356" s="157" t="inlineStr">
        <is>
          <t xml:space="preserve">POSTRES</t>
        </is>
      </c>
      <c r="G356" s="157" t="inlineStr">
        <is>
          <t xml:space="preserve">1 CASATTA EN CAJA X 8 + 1 ENVIO A DOMICILIO</t>
        </is>
      </c>
      <c r="H356" s="293" t="inlineStr">
        <is>
          <t xml:space="preserve">Rechazada</t>
        </is>
      </c>
      <c r="I356" s="157" t="inlineStr">
        <is>
          <t xml:space="preserve"/>
        </is>
      </c>
    </row>
    <row r="357">
      <c r="A357" s="156" t="inlineStr">
        <is>
          <t xml:space="preserve">Lanus Oeste</t>
        </is>
      </c>
      <c r="B357" s="160" t="inlineStr">
        <is>
          <t xml:space="preserve">Fiorella</t>
        </is>
      </c>
      <c r="C357" s="133" t="inlineStr">
        <is>
          <t xml:space="preserve">16 h</t>
        </is>
      </c>
      <c r="D357" s="133" t="inlineStr">
        <is>
          <t xml:space="preserve">PediGrido</t>
        </is>
      </c>
      <c r="E357" s="93">
        <v>26400</v>
      </c>
      <c r="F357" s="157" t="inlineStr">
        <is>
          <t xml:space="preserve">TENTACION</t>
        </is>
      </c>
      <c r="G357" s="157" t="inlineStr">
        <is>
          <t xml:space="preserve">1 T.1 LT DDL GRANIZADO + 1 T. GRANIZADO + 1 T.1 LT FRUTILLA + 1 ENVIO A DOMICILIO</t>
        </is>
      </c>
      <c r="H357" s="294" t="inlineStr">
        <is>
          <t xml:space="preserve">No ofrecida</t>
        </is>
      </c>
      <c r="I357" s="157" t="inlineStr">
        <is>
          <t xml:space="preserve"/>
        </is>
      </c>
    </row>
    <row r="358">
      <c r="A358" s="156" t="inlineStr">
        <is>
          <t xml:space="preserve">Lanus Oeste</t>
        </is>
      </c>
      <c r="B358" s="160" t="inlineStr">
        <is>
          <t xml:space="preserve">Fiorella</t>
        </is>
      </c>
      <c r="C358" s="133" t="inlineStr">
        <is>
          <t xml:space="preserve">16 h</t>
        </is>
      </c>
      <c r="D358" s="133" t="inlineStr">
        <is>
          <t xml:space="preserve">PediGrido</t>
        </is>
      </c>
      <c r="E358" s="93">
        <v>23300</v>
      </c>
      <c r="F358" s="157" t="inlineStr">
        <is>
          <t xml:space="preserve">HELADO X  KILO</t>
        </is>
      </c>
      <c r="G358" s="157" t="inlineStr">
        <is>
          <t xml:space="preserve">1 1 KILO + 1 1/4  KILO + 1 ENVIO A DOMICILIO</t>
        </is>
      </c>
      <c r="H358" s="294" t="inlineStr">
        <is>
          <t xml:space="preserve">No ofrecida</t>
        </is>
      </c>
      <c r="I358" s="157" t="inlineStr">
        <is>
          <t xml:space="preserve"/>
        </is>
      </c>
    </row>
    <row r="359">
      <c r="A359" s="156" t="inlineStr">
        <is>
          <t xml:space="preserve">Lanus Oeste</t>
        </is>
      </c>
      <c r="B359" s="160" t="inlineStr">
        <is>
          <t xml:space="preserve">Fiorella</t>
        </is>
      </c>
      <c r="C359" s="133" t="inlineStr">
        <is>
          <t xml:space="preserve">16 h</t>
        </is>
      </c>
      <c r="D359" s="133" t="inlineStr">
        <is>
          <t xml:space="preserve">PediGrido</t>
        </is>
      </c>
      <c r="E359" s="93">
        <v>10000</v>
      </c>
      <c r="F359" s="157" t="inlineStr">
        <is>
          <t xml:space="preserve">HELADO X  KILO</t>
        </is>
      </c>
      <c r="G359" s="157" t="inlineStr">
        <is>
          <t xml:space="preserve">1 1/2  KILO + 1 1/2  KILO + 1 ENVIO A DOMICILIO</t>
        </is>
      </c>
      <c r="H359" s="294" t="inlineStr">
        <is>
          <t xml:space="preserve">No ofrecida</t>
        </is>
      </c>
      <c r="I359" s="157" t="inlineStr">
        <is>
          <t xml:space="preserve"/>
        </is>
      </c>
    </row>
    <row r="360">
      <c r="A360" s="156" t="inlineStr">
        <is>
          <t xml:space="preserve">Lanus Oeste</t>
        </is>
      </c>
      <c r="B360" s="160" t="inlineStr">
        <is>
          <t xml:space="preserve">Oscar</t>
        </is>
      </c>
      <c r="C360" s="133" t="inlineStr">
        <is>
          <t xml:space="preserve">11 h</t>
        </is>
      </c>
      <c r="D360" s="133" t="inlineStr">
        <is>
          <t xml:space="preserve">Salón</t>
        </is>
      </c>
      <c r="E360" s="93">
        <v>37900</v>
      </c>
      <c r="F360" s="157" t="inlineStr">
        <is>
          <t xml:space="preserve">POSTRES</t>
        </is>
      </c>
      <c r="G360" s="157" t="inlineStr">
        <is>
          <t xml:space="preserve">1 BOMBON ESCOCES EN CAJA X 8 + 1 BOMBÓN CHOCO AVELLANAS CAJA X 8 + 2 HEL. "DUL. EQUI. FRUTI" 80 GR XU. + 1 HEL. "DUL. EQUI. CHOCO" 80 GR XU.</t>
        </is>
      </c>
      <c r="H360" s="293" t="inlineStr">
        <is>
          <t xml:space="preserve">Rechazada</t>
        </is>
      </c>
      <c r="I360" s="157" t="inlineStr">
        <is>
          <t xml:space="preserve"/>
        </is>
      </c>
    </row>
    <row r="361">
      <c r="A361" s="156" t="inlineStr">
        <is>
          <t xml:space="preserve">Lanus Oeste</t>
        </is>
      </c>
      <c r="B361" s="160" t="inlineStr">
        <is>
          <t xml:space="preserve">Oscar</t>
        </is>
      </c>
      <c r="C361" s="133" t="inlineStr">
        <is>
          <t xml:space="preserve">11 h</t>
        </is>
      </c>
      <c r="D361" s="133" t="inlineStr">
        <is>
          <t xml:space="preserve">Salón</t>
        </is>
      </c>
      <c r="E361" s="93">
        <v>18700</v>
      </c>
      <c r="F361" s="157" t="inlineStr">
        <is>
          <t xml:space="preserve">POSTRES</t>
        </is>
      </c>
      <c r="G361" s="157" t="inlineStr">
        <is>
          <t xml:space="preserve">1 CROCANTINO</t>
        </is>
      </c>
      <c r="H361" s="227" t="inlineStr">
        <is>
          <t xml:space="preserve">Aceptada</t>
        </is>
      </c>
      <c r="I361" s="160" t="inlineStr">
        <is>
          <t xml:space="preserve">1 1/2  KILO</t>
        </is>
      </c>
    </row>
    <row r="362">
      <c r="A362" s="156" t="inlineStr">
        <is>
          <t xml:space="preserve">Lanus Oeste</t>
        </is>
      </c>
      <c r="B362" s="160" t="inlineStr">
        <is>
          <t xml:space="preserve">Oscar</t>
        </is>
      </c>
      <c r="C362" s="133" t="inlineStr">
        <is>
          <t xml:space="preserve">11 h</t>
        </is>
      </c>
      <c r="D362" s="133" t="inlineStr">
        <is>
          <t xml:space="preserve">Salón</t>
        </is>
      </c>
      <c r="E362" s="93">
        <v>2400</v>
      </c>
      <c r="F362" s="157" t="inlineStr">
        <is>
          <t xml:space="preserve">POSTRES</t>
        </is>
      </c>
      <c r="G362" s="157" t="inlineStr">
        <is>
          <t xml:space="preserve">1 BOMBÓN CHOCO AVELLANAS X UN</t>
        </is>
      </c>
      <c r="H362" s="294" t="inlineStr">
        <is>
          <t xml:space="preserve">No ofrecida</t>
        </is>
      </c>
      <c r="I362" s="157" t="inlineStr">
        <is>
          <t xml:space="preserve"/>
        </is>
      </c>
    </row>
    <row r="363">
      <c r="A363" s="156" t="inlineStr">
        <is>
          <t xml:space="preserve">Lanus Oeste</t>
        </is>
      </c>
      <c r="B363" s="160" t="inlineStr">
        <is>
          <t xml:space="preserve">Oscar</t>
        </is>
      </c>
      <c r="C363" s="133" t="inlineStr">
        <is>
          <t xml:space="preserve">11 h</t>
        </is>
      </c>
      <c r="D363" s="133" t="inlineStr">
        <is>
          <t xml:space="preserve">Salón</t>
        </is>
      </c>
      <c r="E363" s="93">
        <v>5300</v>
      </c>
      <c r="F363" s="157" t="inlineStr">
        <is>
          <t xml:space="preserve">PALITOS</t>
        </is>
      </c>
      <c r="G363" s="157" t="inlineStr">
        <is>
          <t xml:space="preserve">1 PALITO FRUTAL NARANJA X10 U.</t>
        </is>
      </c>
      <c r="H363" s="293" t="inlineStr">
        <is>
          <t xml:space="preserve">Rechazada</t>
        </is>
      </c>
      <c r="I363" s="157" t="inlineStr">
        <is>
          <t xml:space="preserve"/>
        </is>
      </c>
    </row>
    <row r="364">
      <c r="A364" s="156" t="inlineStr">
        <is>
          <t xml:space="preserve">Lanus Oeste</t>
        </is>
      </c>
      <c r="B364" s="160" t="inlineStr">
        <is>
          <t xml:space="preserve">Oscar</t>
        </is>
      </c>
      <c r="C364" s="133" t="inlineStr">
        <is>
          <t xml:space="preserve">11 h</t>
        </is>
      </c>
      <c r="D364" s="133" t="inlineStr">
        <is>
          <t xml:space="preserve">Salón</t>
        </is>
      </c>
      <c r="E364" s="93">
        <v>15600</v>
      </c>
      <c r="F364" s="157" t="inlineStr">
        <is>
          <t xml:space="preserve">HELADO X  KILO</t>
        </is>
      </c>
      <c r="G364" s="157" t="inlineStr">
        <is>
          <t xml:space="preserve">1 1/2  KILO + 1 FRAMBUESAS DOBLE CHOCOLATE - GRIDO</t>
        </is>
      </c>
      <c r="H364" s="293" t="inlineStr">
        <is>
          <t xml:space="preserve">Rechazada</t>
        </is>
      </c>
      <c r="I364" s="157" t="inlineStr">
        <is>
          <t xml:space="preserve"/>
        </is>
      </c>
    </row>
    <row r="365">
      <c r="A365" s="156" t="inlineStr">
        <is>
          <t xml:space="preserve">Lanus Oeste</t>
        </is>
      </c>
      <c r="B365" s="160" t="inlineStr">
        <is>
          <t xml:space="preserve">Oscar</t>
        </is>
      </c>
      <c r="C365" s="133" t="inlineStr">
        <is>
          <t xml:space="preserve">12 h</t>
        </is>
      </c>
      <c r="D365" s="133" t="inlineStr">
        <is>
          <t xml:space="preserve">Salón</t>
        </is>
      </c>
      <c r="E365" s="93">
        <v>2800</v>
      </c>
      <c r="F365" s="157" t="inlineStr">
        <is>
          <t xml:space="preserve">HELADO X BOCHA</t>
        </is>
      </c>
      <c r="G365" s="157" t="inlineStr">
        <is>
          <t xml:space="preserve">1 MINI GIGANTE</t>
        </is>
      </c>
      <c r="H365" s="293" t="inlineStr">
        <is>
          <t xml:space="preserve">Rechazada</t>
        </is>
      </c>
      <c r="I365" s="157" t="inlineStr">
        <is>
          <t xml:space="preserve"/>
        </is>
      </c>
    </row>
    <row r="366">
      <c r="A366" s="156" t="inlineStr">
        <is>
          <t xml:space="preserve">Lanus Oeste</t>
        </is>
      </c>
      <c r="B366" s="160" t="inlineStr">
        <is>
          <t xml:space="preserve">Oscar</t>
        </is>
      </c>
      <c r="C366" s="133" t="inlineStr">
        <is>
          <t xml:space="preserve">12 h</t>
        </is>
      </c>
      <c r="D366" s="133" t="inlineStr">
        <is>
          <t xml:space="preserve">Salón</t>
        </is>
      </c>
      <c r="E366" s="93">
        <v>2400</v>
      </c>
      <c r="F366" s="157" t="inlineStr">
        <is>
          <t xml:space="preserve">PALITOS</t>
        </is>
      </c>
      <c r="G366" s="157" t="inlineStr">
        <is>
          <t xml:space="preserve">2 PALITO FRUTAL FRUTILLA X UNIDAD + 1 PALITO FRUTAL LIMON X UNIDAD</t>
        </is>
      </c>
      <c r="H366" s="294" t="inlineStr">
        <is>
          <t xml:space="preserve">No ofrecida</t>
        </is>
      </c>
      <c r="I366" s="157" t="inlineStr">
        <is>
          <t xml:space="preserve"/>
        </is>
      </c>
    </row>
    <row r="367">
      <c r="A367" s="156" t="inlineStr">
        <is>
          <t xml:space="preserve">Lanus Oeste</t>
        </is>
      </c>
      <c r="B367" s="160" t="inlineStr">
        <is>
          <t xml:space="preserve">Oscar</t>
        </is>
      </c>
      <c r="C367" s="133" t="inlineStr">
        <is>
          <t xml:space="preserve">12 h</t>
        </is>
      </c>
      <c r="D367" s="133" t="inlineStr">
        <is>
          <t xml:space="preserve">Salón</t>
        </is>
      </c>
      <c r="E367" s="93">
        <v>17500</v>
      </c>
      <c r="F367" s="157" t="inlineStr">
        <is>
          <t xml:space="preserve">TORTAS</t>
        </is>
      </c>
      <c r="G367" s="157" t="inlineStr">
        <is>
          <t xml:space="preserve">1 TORTA GRIDO RELLENA</t>
        </is>
      </c>
      <c r="H367" s="293" t="inlineStr">
        <is>
          <t xml:space="preserve">Rechazada</t>
        </is>
      </c>
      <c r="I367" s="157" t="inlineStr">
        <is>
          <t xml:space="preserve"/>
        </is>
      </c>
    </row>
    <row r="368">
      <c r="A368" s="156" t="inlineStr">
        <is>
          <t xml:space="preserve">Lanus Oeste</t>
        </is>
      </c>
      <c r="B368" s="160" t="inlineStr">
        <is>
          <t xml:space="preserve">Oscar</t>
        </is>
      </c>
      <c r="C368" s="133" t="inlineStr">
        <is>
          <t xml:space="preserve">12 h</t>
        </is>
      </c>
      <c r="D368" s="133" t="inlineStr">
        <is>
          <t xml:space="preserve">Salón</t>
        </is>
      </c>
      <c r="E368" s="93">
        <v>28600</v>
      </c>
      <c r="F368" s="157" t="inlineStr">
        <is>
          <t xml:space="preserve">POSTRES</t>
        </is>
      </c>
      <c r="G368" s="157" t="inlineStr">
        <is>
          <t xml:space="preserve">2 BOMBÓN CHOCO AVELLANAS CAJA X 8</t>
        </is>
      </c>
      <c r="H368" s="293" t="inlineStr">
        <is>
          <t xml:space="preserve">Rechazada</t>
        </is>
      </c>
      <c r="I368" s="157" t="inlineStr">
        <is>
          <t xml:space="preserve"/>
        </is>
      </c>
    </row>
    <row r="369">
      <c r="A369" s="156" t="inlineStr">
        <is>
          <t xml:space="preserve">Lanus Oeste</t>
        </is>
      </c>
      <c r="B369" s="160" t="inlineStr">
        <is>
          <t xml:space="preserve">Oscar</t>
        </is>
      </c>
      <c r="C369" s="133" t="inlineStr">
        <is>
          <t xml:space="preserve">12 h</t>
        </is>
      </c>
      <c r="D369" s="133" t="inlineStr">
        <is>
          <t xml:space="preserve">Salón</t>
        </is>
      </c>
      <c r="E369" s="93">
        <v>10640</v>
      </c>
      <c r="F369" s="157" t="inlineStr">
        <is>
          <t xml:space="preserve">POSTRES</t>
        </is>
      </c>
      <c r="G369" s="157" t="inlineStr">
        <is>
          <t xml:space="preserve">1 BOMBON FRUTEZZA X8U.</t>
        </is>
      </c>
      <c r="H369" s="293" t="inlineStr">
        <is>
          <t xml:space="preserve">Rechazada</t>
        </is>
      </c>
      <c r="I369" s="157" t="inlineStr">
        <is>
          <t xml:space="preserve"/>
        </is>
      </c>
    </row>
    <row r="370">
      <c r="A370" s="156" t="inlineStr">
        <is>
          <t xml:space="preserve">Lanus Oeste</t>
        </is>
      </c>
      <c r="B370" s="160" t="inlineStr">
        <is>
          <t xml:space="preserve">Oscar</t>
        </is>
      </c>
      <c r="C370" s="133" t="inlineStr">
        <is>
          <t xml:space="preserve">13 h</t>
        </is>
      </c>
      <c r="D370" s="133" t="inlineStr">
        <is>
          <t xml:space="preserve">Salón</t>
        </is>
      </c>
      <c r="E370" s="93">
        <v>10700</v>
      </c>
      <c r="F370" s="157" t="inlineStr">
        <is>
          <t xml:space="preserve">POSTRES</t>
        </is>
      </c>
      <c r="G370" s="157" t="inlineStr">
        <is>
          <t xml:space="preserve">1 BARRA DELICIA CHOCOLATE Y MANI + 1 CROCANTINO</t>
        </is>
      </c>
      <c r="H370" s="294" t="inlineStr">
        <is>
          <t xml:space="preserve">No ofrecida</t>
        </is>
      </c>
      <c r="I370" s="157" t="inlineStr">
        <is>
          <t xml:space="preserve"/>
        </is>
      </c>
    </row>
    <row r="371">
      <c r="A371" s="156" t="inlineStr">
        <is>
          <t xml:space="preserve">Lanus Oeste</t>
        </is>
      </c>
      <c r="B371" s="160" t="inlineStr">
        <is>
          <t xml:space="preserve">Oscar</t>
        </is>
      </c>
      <c r="C371" s="133" t="inlineStr">
        <is>
          <t xml:space="preserve">13 h</t>
        </is>
      </c>
      <c r="D371" s="133" t="inlineStr">
        <is>
          <t xml:space="preserve">Salón</t>
        </is>
      </c>
      <c r="E371" s="93">
        <v>17500</v>
      </c>
      <c r="F371" s="157" t="inlineStr">
        <is>
          <t xml:space="preserve">TORTAS</t>
        </is>
      </c>
      <c r="G371" s="157" t="inlineStr">
        <is>
          <t xml:space="preserve">1 TORTA FRUTILLAS CON CREMA</t>
        </is>
      </c>
      <c r="H371" s="293" t="inlineStr">
        <is>
          <t xml:space="preserve">Rechazada</t>
        </is>
      </c>
      <c r="I371" s="157" t="inlineStr">
        <is>
          <t xml:space="preserve"/>
        </is>
      </c>
    </row>
    <row r="372">
      <c r="A372" s="156" t="inlineStr">
        <is>
          <t xml:space="preserve">Lanus Oeste</t>
        </is>
      </c>
      <c r="B372" s="160" t="inlineStr">
        <is>
          <t xml:space="preserve">Oscar</t>
        </is>
      </c>
      <c r="C372" s="133" t="inlineStr">
        <is>
          <t xml:space="preserve">13 h</t>
        </is>
      </c>
      <c r="D372" s="133" t="inlineStr">
        <is>
          <t xml:space="preserve">Salón</t>
        </is>
      </c>
      <c r="E372" s="93">
        <v>13300</v>
      </c>
      <c r="F372" s="157" t="inlineStr">
        <is>
          <t xml:space="preserve">POSTRES</t>
        </is>
      </c>
      <c r="G372" s="157" t="inlineStr">
        <is>
          <t xml:space="preserve">1 BOMBON FRUTEZZA X8U.</t>
        </is>
      </c>
      <c r="H372" s="293" t="inlineStr">
        <is>
          <t xml:space="preserve">Rechazada</t>
        </is>
      </c>
      <c r="I372" s="157" t="inlineStr">
        <is>
          <t xml:space="preserve"/>
        </is>
      </c>
    </row>
    <row r="373">
      <c r="A373" s="156" t="inlineStr">
        <is>
          <t xml:space="preserve">Lanus Oeste</t>
        </is>
      </c>
      <c r="B373" s="160" t="inlineStr">
        <is>
          <t xml:space="preserve">Oscar</t>
        </is>
      </c>
      <c r="C373" s="133" t="inlineStr">
        <is>
          <t xml:space="preserve">13 h</t>
        </is>
      </c>
      <c r="D373" s="133" t="inlineStr">
        <is>
          <t xml:space="preserve">Salón</t>
        </is>
      </c>
      <c r="E373" s="93">
        <v>17800</v>
      </c>
      <c r="F373" s="157" t="inlineStr">
        <is>
          <t xml:space="preserve">CONGELADOS</t>
        </is>
      </c>
      <c r="G373" s="157" t="inlineStr">
        <is>
          <t xml:space="preserve">2 FRAMBUESAS DOBLE CHOCOLATE - GRIDO + 2 BOMBON ESCOCES X UNIDAD + 1 CASATTA X UNIDAD</t>
        </is>
      </c>
      <c r="H373" s="293" t="inlineStr">
        <is>
          <t xml:space="preserve">Rechazada</t>
        </is>
      </c>
      <c r="I373" s="157" t="inlineStr">
        <is>
          <t xml:space="preserve"/>
        </is>
      </c>
    </row>
    <row r="374">
      <c r="A374" s="156" t="inlineStr">
        <is>
          <t xml:space="preserve">Lanus Oeste</t>
        </is>
      </c>
      <c r="B374" s="160" t="inlineStr">
        <is>
          <t xml:space="preserve">Oscar</t>
        </is>
      </c>
      <c r="C374" s="133" t="inlineStr">
        <is>
          <t xml:space="preserve">13 h</t>
        </is>
      </c>
      <c r="D374" s="133" t="inlineStr">
        <is>
          <t xml:space="preserve">Salón</t>
        </is>
      </c>
      <c r="E374" s="93">
        <v>16900</v>
      </c>
      <c r="F374" s="157" t="inlineStr">
        <is>
          <t xml:space="preserve">HELADO X  KILO</t>
        </is>
      </c>
      <c r="G374" s="157" t="inlineStr">
        <is>
          <t xml:space="preserve">1 1 KILO</t>
        </is>
      </c>
      <c r="H374" s="293" t="inlineStr">
        <is>
          <t xml:space="preserve">Rechazada</t>
        </is>
      </c>
      <c r="I374" s="157" t="inlineStr">
        <is>
          <t xml:space="preserve"/>
        </is>
      </c>
    </row>
    <row r="375">
      <c r="A375" s="156" t="inlineStr">
        <is>
          <t xml:space="preserve">Lanus Oeste</t>
        </is>
      </c>
      <c r="B375" s="160" t="inlineStr">
        <is>
          <t xml:space="preserve">Oscar</t>
        </is>
      </c>
      <c r="C375" s="133" t="inlineStr">
        <is>
          <t xml:space="preserve">13 h</t>
        </is>
      </c>
      <c r="D375" s="133" t="inlineStr">
        <is>
          <t xml:space="preserve">Salón</t>
        </is>
      </c>
      <c r="E375" s="93">
        <v>24000</v>
      </c>
      <c r="F375" s="157" t="inlineStr">
        <is>
          <t xml:space="preserve">POSTRES</t>
        </is>
      </c>
      <c r="G375" s="157" t="inlineStr">
        <is>
          <t xml:space="preserve">1 BOMBON FRUTEZZA X8U. + 1 ALMENDRADO EN CAJA X 8</t>
        </is>
      </c>
      <c r="H375" s="293" t="inlineStr">
        <is>
          <t xml:space="preserve">Rechazada</t>
        </is>
      </c>
      <c r="I375" s="157" t="inlineStr">
        <is>
          <t xml:space="preserve"/>
        </is>
      </c>
    </row>
    <row r="376">
      <c r="A376" s="156" t="inlineStr">
        <is>
          <t xml:space="preserve">Lanus Oeste</t>
        </is>
      </c>
      <c r="B376" s="160" t="inlineStr">
        <is>
          <t xml:space="preserve">Oscar</t>
        </is>
      </c>
      <c r="C376" s="133" t="inlineStr">
        <is>
          <t xml:space="preserve">13 h</t>
        </is>
      </c>
      <c r="D376" s="133" t="inlineStr">
        <is>
          <t xml:space="preserve">Salón</t>
        </is>
      </c>
      <c r="E376" s="93">
        <v>16900</v>
      </c>
      <c r="F376" s="157" t="inlineStr">
        <is>
          <t xml:space="preserve">HELADO X  KILO</t>
        </is>
      </c>
      <c r="G376" s="157" t="inlineStr">
        <is>
          <t xml:space="preserve">1 1 KILO</t>
        </is>
      </c>
      <c r="H376" s="293" t="inlineStr">
        <is>
          <t xml:space="preserve">Rechazada</t>
        </is>
      </c>
      <c r="I376" s="157" t="inlineStr">
        <is>
          <t xml:space="preserve"/>
        </is>
      </c>
    </row>
    <row r="377">
      <c r="A377" s="156" t="inlineStr">
        <is>
          <t xml:space="preserve">Lanus Oeste</t>
        </is>
      </c>
      <c r="B377" s="160" t="inlineStr">
        <is>
          <t xml:space="preserve">Oscar</t>
        </is>
      </c>
      <c r="C377" s="133" t="inlineStr">
        <is>
          <t xml:space="preserve">13 h</t>
        </is>
      </c>
      <c r="D377" s="133" t="inlineStr">
        <is>
          <t xml:space="preserve">Salón</t>
        </is>
      </c>
      <c r="E377" s="93">
        <v>13200</v>
      </c>
      <c r="F377" s="157" t="inlineStr">
        <is>
          <t xml:space="preserve">CONGELADOS</t>
        </is>
      </c>
      <c r="G377" s="157" t="inlineStr">
        <is>
          <t xml:space="preserve">1 FRAMBUESAS DOBLE CHOCOLATE - GRIDO + 1 FRUTILLAS DOBLE CHOCOLATE - GRIDO</t>
        </is>
      </c>
      <c r="H377" s="227" t="inlineStr">
        <is>
          <t xml:space="preserve">Aceptada</t>
        </is>
      </c>
      <c r="I377" s="160" t="inlineStr">
        <is>
          <t xml:space="preserve">1 BOMBON FRUTEZZA XU.</t>
        </is>
      </c>
    </row>
    <row r="378">
      <c r="A378" s="156" t="inlineStr">
        <is>
          <t xml:space="preserve">Lanus Oeste</t>
        </is>
      </c>
      <c r="B378" s="160" t="inlineStr">
        <is>
          <t xml:space="preserve">Oscar</t>
        </is>
      </c>
      <c r="C378" s="133" t="inlineStr">
        <is>
          <t xml:space="preserve">13 h</t>
        </is>
      </c>
      <c r="D378" s="133" t="inlineStr">
        <is>
          <t xml:space="preserve">Salón</t>
        </is>
      </c>
      <c r="E378" s="93">
        <v>26600</v>
      </c>
      <c r="F378" s="157" t="inlineStr">
        <is>
          <t xml:space="preserve">POSTRES</t>
        </is>
      </c>
      <c r="G378" s="157" t="inlineStr">
        <is>
          <t xml:space="preserve">1 BOMBON CROCANTE EN CAJA X 8 + 1 BOMBON FRUTEZZA X8U.</t>
        </is>
      </c>
      <c r="H378" s="293" t="inlineStr">
        <is>
          <t xml:space="preserve">Rechazada</t>
        </is>
      </c>
      <c r="I378" s="157" t="inlineStr">
        <is>
          <t xml:space="preserve"/>
        </is>
      </c>
    </row>
    <row r="379">
      <c r="A379" s="156" t="inlineStr">
        <is>
          <t xml:space="preserve">Lanus Oeste</t>
        </is>
      </c>
      <c r="B379" s="160" t="inlineStr">
        <is>
          <t xml:space="preserve">Oscar</t>
        </is>
      </c>
      <c r="C379" s="133" t="inlineStr">
        <is>
          <t xml:space="preserve">13 h</t>
        </is>
      </c>
      <c r="D379" s="133" t="inlineStr">
        <is>
          <t xml:space="preserve">Salón</t>
        </is>
      </c>
      <c r="E379" s="93">
        <v>28600</v>
      </c>
      <c r="F379" s="157" t="inlineStr">
        <is>
          <t xml:space="preserve">POSTRES</t>
        </is>
      </c>
      <c r="G379" s="157" t="inlineStr">
        <is>
          <t xml:space="preserve">1 BOMBON FRUTEZZA X8U. + 1 PALITO BOMBÓN X10 UN.</t>
        </is>
      </c>
      <c r="H379" s="227" t="inlineStr">
        <is>
          <t xml:space="preserve">Aceptada</t>
        </is>
      </c>
      <c r="I379" s="160" t="inlineStr">
        <is>
          <t xml:space="preserve">1 1/2  KILO</t>
        </is>
      </c>
    </row>
    <row r="380">
      <c r="A380" s="156" t="inlineStr">
        <is>
          <t xml:space="preserve">Lanus Oeste</t>
        </is>
      </c>
      <c r="B380" s="160" t="inlineStr">
        <is>
          <t xml:space="preserve">Oscar</t>
        </is>
      </c>
      <c r="C380" s="133" t="inlineStr">
        <is>
          <t xml:space="preserve">13 h</t>
        </is>
      </c>
      <c r="D380" s="133" t="inlineStr">
        <is>
          <t xml:space="preserve">Salón</t>
        </is>
      </c>
      <c r="E380" s="93">
        <v>17700</v>
      </c>
      <c r="F380" s="157" t="inlineStr">
        <is>
          <t xml:space="preserve">PALITOS</t>
        </is>
      </c>
      <c r="G380" s="157" t="inlineStr">
        <is>
          <t xml:space="preserve">1 P.FRUT.FRUTILLA EN CAJA X 20 + 3 BOMBÓN CHOCO AVELLANAS X UN</t>
        </is>
      </c>
      <c r="H380" s="293" t="inlineStr">
        <is>
          <t xml:space="preserve">Rechazada</t>
        </is>
      </c>
      <c r="I380" s="157" t="inlineStr">
        <is>
          <t xml:space="preserve"/>
        </is>
      </c>
    </row>
    <row r="381">
      <c r="A381" s="156" t="inlineStr">
        <is>
          <t xml:space="preserve">Lanus Oeste</t>
        </is>
      </c>
      <c r="B381" s="160" t="inlineStr">
        <is>
          <t xml:space="preserve">Oscar</t>
        </is>
      </c>
      <c r="C381" s="133" t="inlineStr">
        <is>
          <t xml:space="preserve">13 h</t>
        </is>
      </c>
      <c r="D381" s="133" t="inlineStr">
        <is>
          <t xml:space="preserve">Salón</t>
        </is>
      </c>
      <c r="E381" s="93">
        <v>33800</v>
      </c>
      <c r="F381" s="157" t="inlineStr">
        <is>
          <t xml:space="preserve">HELADO X  KILO</t>
        </is>
      </c>
      <c r="G381" s="157" t="inlineStr">
        <is>
          <t xml:space="preserve">2 1 KILO</t>
        </is>
      </c>
      <c r="H381" s="293" t="inlineStr">
        <is>
          <t xml:space="preserve">Rechazada</t>
        </is>
      </c>
      <c r="I381" s="157" t="inlineStr">
        <is>
          <t xml:space="preserve"/>
        </is>
      </c>
    </row>
    <row r="382">
      <c r="A382" s="156" t="inlineStr">
        <is>
          <t xml:space="preserve">Lanus Oeste</t>
        </is>
      </c>
      <c r="B382" s="160" t="inlineStr">
        <is>
          <t xml:space="preserve">Oscar</t>
        </is>
      </c>
      <c r="C382" s="133" t="inlineStr">
        <is>
          <t xml:space="preserve">13 h</t>
        </is>
      </c>
      <c r="D382" s="133" t="inlineStr">
        <is>
          <t xml:space="preserve">Salón</t>
        </is>
      </c>
      <c r="E382" s="93">
        <v>16900</v>
      </c>
      <c r="F382" s="157" t="inlineStr">
        <is>
          <t xml:space="preserve">HELADO X  KILO</t>
        </is>
      </c>
      <c r="G382" s="157" t="inlineStr">
        <is>
          <t xml:space="preserve">1 1 KILO</t>
        </is>
      </c>
      <c r="H382" s="293" t="inlineStr">
        <is>
          <t xml:space="preserve">Rechazada</t>
        </is>
      </c>
      <c r="I382" s="157" t="inlineStr">
        <is>
          <t xml:space="preserve"/>
        </is>
      </c>
    </row>
    <row r="383">
      <c r="A383" s="156" t="inlineStr">
        <is>
          <t xml:space="preserve">Lanus Oeste</t>
        </is>
      </c>
      <c r="B383" s="160" t="inlineStr">
        <is>
          <t xml:space="preserve">Oscar</t>
        </is>
      </c>
      <c r="C383" s="133" t="inlineStr">
        <is>
          <t xml:space="preserve">13 h</t>
        </is>
      </c>
      <c r="D383" s="133" t="inlineStr">
        <is>
          <t xml:space="preserve">Salón</t>
        </is>
      </c>
      <c r="E383" s="93">
        <v>16900</v>
      </c>
      <c r="F383" s="157" t="inlineStr">
        <is>
          <t xml:space="preserve">HELADO X  KILO</t>
        </is>
      </c>
      <c r="G383" s="157" t="inlineStr">
        <is>
          <t xml:space="preserve">1 1 KILO</t>
        </is>
      </c>
      <c r="H383" s="293" t="inlineStr">
        <is>
          <t xml:space="preserve">Rechazada</t>
        </is>
      </c>
      <c r="I383" s="157" t="inlineStr">
        <is>
          <t xml:space="preserve"/>
        </is>
      </c>
    </row>
    <row r="384">
      <c r="A384" s="156" t="inlineStr">
        <is>
          <t xml:space="preserve">Lanus Oeste</t>
        </is>
      </c>
      <c r="B384" s="160" t="inlineStr">
        <is>
          <t xml:space="preserve">Oscar</t>
        </is>
      </c>
      <c r="C384" s="133" t="inlineStr">
        <is>
          <t xml:space="preserve">14 h</t>
        </is>
      </c>
      <c r="D384" s="133" t="inlineStr">
        <is>
          <t xml:space="preserve">Salón</t>
        </is>
      </c>
      <c r="E384" s="93">
        <v>22500</v>
      </c>
      <c r="F384" s="157" t="inlineStr">
        <is>
          <t xml:space="preserve">HELADO X  KILO</t>
        </is>
      </c>
      <c r="G384" s="157" t="inlineStr">
        <is>
          <t xml:space="preserve">1 1 KILO + 1 FRAMBUESAS DOBLE CHOCOLATE - GRIDO</t>
        </is>
      </c>
      <c r="H384" s="293" t="inlineStr">
        <is>
          <t xml:space="preserve">Rechazada</t>
        </is>
      </c>
      <c r="I384" s="157" t="inlineStr">
        <is>
          <t xml:space="preserve"/>
        </is>
      </c>
    </row>
    <row r="385">
      <c r="A385" s="156" t="inlineStr">
        <is>
          <t xml:space="preserve">Lanus Oeste</t>
        </is>
      </c>
      <c r="B385" s="160" t="inlineStr">
        <is>
          <t xml:space="preserve">Oscar</t>
        </is>
      </c>
      <c r="C385" s="133" t="inlineStr">
        <is>
          <t xml:space="preserve">14 h</t>
        </is>
      </c>
      <c r="D385" s="133" t="inlineStr">
        <is>
          <t xml:space="preserve">Salón</t>
        </is>
      </c>
      <c r="E385" s="93">
        <v>1100</v>
      </c>
      <c r="F385" s="157" t="inlineStr">
        <is>
          <t xml:space="preserve">PALITOS</t>
        </is>
      </c>
      <c r="G385" s="157" t="inlineStr">
        <is>
          <t xml:space="preserve">1 PALITO BOMBON DDL X UN.</t>
        </is>
      </c>
      <c r="H385" s="294" t="inlineStr">
        <is>
          <t xml:space="preserve">No ofrecida</t>
        </is>
      </c>
      <c r="I385" s="157" t="inlineStr">
        <is>
          <t xml:space="preserve"/>
        </is>
      </c>
    </row>
    <row r="386">
      <c r="A386" s="156" t="inlineStr">
        <is>
          <t xml:space="preserve">Lanus Oeste</t>
        </is>
      </c>
      <c r="B386" s="160" t="inlineStr">
        <is>
          <t xml:space="preserve">Oscar</t>
        </is>
      </c>
      <c r="C386" s="133" t="inlineStr">
        <is>
          <t xml:space="preserve">14 h</t>
        </is>
      </c>
      <c r="D386" s="133" t="inlineStr">
        <is>
          <t xml:space="preserve">Salón</t>
        </is>
      </c>
      <c r="E386" s="93">
        <v>16900</v>
      </c>
      <c r="F386" s="157" t="inlineStr">
        <is>
          <t xml:space="preserve">HELADO X  KILO</t>
        </is>
      </c>
      <c r="G386" s="157" t="inlineStr">
        <is>
          <t xml:space="preserve">1 1 KILO</t>
        </is>
      </c>
      <c r="H386" s="293" t="inlineStr">
        <is>
          <t xml:space="preserve">Rechazada</t>
        </is>
      </c>
      <c r="I386" s="157" t="inlineStr">
        <is>
          <t xml:space="preserve"/>
        </is>
      </c>
    </row>
    <row r="387">
      <c r="A387" s="156" t="inlineStr">
        <is>
          <t xml:space="preserve">Lanus Oeste</t>
        </is>
      </c>
      <c r="B387" s="160" t="inlineStr">
        <is>
          <t xml:space="preserve">Oscar</t>
        </is>
      </c>
      <c r="C387" s="133" t="inlineStr">
        <is>
          <t xml:space="preserve">14 h</t>
        </is>
      </c>
      <c r="D387" s="133" t="inlineStr">
        <is>
          <t xml:space="preserve">Salón</t>
        </is>
      </c>
      <c r="E387" s="93">
        <v>17500</v>
      </c>
      <c r="F387" s="157" t="inlineStr">
        <is>
          <t xml:space="preserve">TORTAS</t>
        </is>
      </c>
      <c r="G387" s="157" t="inlineStr">
        <is>
          <t xml:space="preserve">1 TORTA COOKIES AND CREAM</t>
        </is>
      </c>
      <c r="H387" s="293" t="inlineStr">
        <is>
          <t xml:space="preserve">Rechazada</t>
        </is>
      </c>
      <c r="I387" s="157" t="inlineStr">
        <is>
          <t xml:space="preserve"/>
        </is>
      </c>
    </row>
    <row r="388">
      <c r="A388" s="156" t="inlineStr">
        <is>
          <t xml:space="preserve">Lanus Oeste</t>
        </is>
      </c>
      <c r="B388" s="160" t="inlineStr">
        <is>
          <t xml:space="preserve">Oscar</t>
        </is>
      </c>
      <c r="C388" s="133" t="inlineStr">
        <is>
          <t xml:space="preserve">14 h</t>
        </is>
      </c>
      <c r="D388" s="133" t="inlineStr">
        <is>
          <t xml:space="preserve">Salón</t>
        </is>
      </c>
      <c r="E388" s="93">
        <v>8400</v>
      </c>
      <c r="F388" s="157" t="inlineStr">
        <is>
          <t xml:space="preserve">HELADO X  KILO</t>
        </is>
      </c>
      <c r="G388" s="157" t="inlineStr">
        <is>
          <t xml:space="preserve">1 1/4  KILO</t>
        </is>
      </c>
      <c r="H388" s="227" t="inlineStr">
        <is>
          <t xml:space="preserve">Aceptada</t>
        </is>
      </c>
      <c r="I388" s="160" t="inlineStr">
        <is>
          <t xml:space="preserve">1 BOMBON FRUTEZZA XU.</t>
        </is>
      </c>
    </row>
    <row r="389">
      <c r="A389" s="156" t="inlineStr">
        <is>
          <t xml:space="preserve">Lanus Oeste</t>
        </is>
      </c>
      <c r="B389" s="160" t="inlineStr">
        <is>
          <t xml:space="preserve">Oscar</t>
        </is>
      </c>
      <c r="C389" s="133" t="inlineStr">
        <is>
          <t xml:space="preserve">14 h</t>
        </is>
      </c>
      <c r="D389" s="133" t="inlineStr">
        <is>
          <t xml:space="preserve">Salón</t>
        </is>
      </c>
      <c r="E389" s="93">
        <v>11440</v>
      </c>
      <c r="F389" s="157" t="inlineStr">
        <is>
          <t xml:space="preserve">POSTRES</t>
        </is>
      </c>
      <c r="G389" s="157" t="inlineStr">
        <is>
          <t xml:space="preserve">1 BOMBON ESCOCES EN CAJA X 8</t>
        </is>
      </c>
      <c r="H389" s="293" t="inlineStr">
        <is>
          <t xml:space="preserve">Rechazada</t>
        </is>
      </c>
      <c r="I389" s="157" t="inlineStr">
        <is>
          <t xml:space="preserve"/>
        </is>
      </c>
    </row>
    <row r="390">
      <c r="A390" s="156" t="inlineStr">
        <is>
          <t xml:space="preserve">Lanus Oeste</t>
        </is>
      </c>
      <c r="B390" s="160" t="inlineStr">
        <is>
          <t xml:space="preserve">Oscar</t>
        </is>
      </c>
      <c r="C390" s="133" t="inlineStr">
        <is>
          <t xml:space="preserve">14 h</t>
        </is>
      </c>
      <c r="D390" s="133" t="inlineStr">
        <is>
          <t xml:space="preserve">Salón</t>
        </is>
      </c>
      <c r="E390" s="93">
        <v>37800</v>
      </c>
      <c r="F390" s="157" t="inlineStr">
        <is>
          <t xml:space="preserve">POSTRES</t>
        </is>
      </c>
      <c r="G390" s="157" t="inlineStr">
        <is>
          <t xml:space="preserve">1 ALFAJOR SECRETO COOKIES AND CREAM + 1 BOMBON CROCANTE EN CAJA X 8 + 1 P.FRUT.FRUTILLA EN CAJA X 20</t>
        </is>
      </c>
      <c r="H390" s="293" t="inlineStr">
        <is>
          <t xml:space="preserve">Rechazada</t>
        </is>
      </c>
      <c r="I390" s="157" t="inlineStr">
        <is>
          <t xml:space="preserve"/>
        </is>
      </c>
    </row>
    <row r="391">
      <c r="A391" s="156" t="inlineStr">
        <is>
          <t xml:space="preserve">Lanus Oeste</t>
        </is>
      </c>
      <c r="B391" s="160" t="inlineStr">
        <is>
          <t xml:space="preserve">Oscar</t>
        </is>
      </c>
      <c r="C391" s="133" t="inlineStr">
        <is>
          <t xml:space="preserve">14 h</t>
        </is>
      </c>
      <c r="D391" s="133" t="inlineStr">
        <is>
          <t xml:space="preserve">Salón</t>
        </is>
      </c>
      <c r="E391" s="93">
        <v>27400</v>
      </c>
      <c r="F391" s="157" t="inlineStr">
        <is>
          <t xml:space="preserve">HELADO X  KILO</t>
        </is>
      </c>
      <c r="G391" s="157" t="inlineStr">
        <is>
          <t xml:space="preserve">1 1 KILO + 1 P.FRUT.FRUTILLA EN CAJA X 20</t>
        </is>
      </c>
      <c r="H391" s="293" t="inlineStr">
        <is>
          <t xml:space="preserve">Rechazada</t>
        </is>
      </c>
      <c r="I391" s="157" t="inlineStr">
        <is>
          <t xml:space="preserve"/>
        </is>
      </c>
    </row>
    <row r="392">
      <c r="A392" s="156" t="inlineStr">
        <is>
          <t xml:space="preserve">Lanus Oeste</t>
        </is>
      </c>
      <c r="B392" s="160" t="inlineStr">
        <is>
          <t xml:space="preserve">Oscar</t>
        </is>
      </c>
      <c r="C392" s="133" t="inlineStr">
        <is>
          <t xml:space="preserve">14 h</t>
        </is>
      </c>
      <c r="D392" s="133" t="inlineStr">
        <is>
          <t xml:space="preserve">Salón</t>
        </is>
      </c>
      <c r="E392" s="93">
        <v>14300</v>
      </c>
      <c r="F392" s="157" t="inlineStr">
        <is>
          <t xml:space="preserve">POSTRES</t>
        </is>
      </c>
      <c r="G392" s="157" t="inlineStr">
        <is>
          <t xml:space="preserve">1 BOMBON ESCOCES EN CAJA X 8</t>
        </is>
      </c>
      <c r="H392" s="293" t="inlineStr">
        <is>
          <t xml:space="preserve">Rechazada</t>
        </is>
      </c>
      <c r="I392" s="157" t="inlineStr">
        <is>
          <t xml:space="preserve"/>
        </is>
      </c>
    </row>
    <row r="393">
      <c r="A393" s="156" t="inlineStr">
        <is>
          <t xml:space="preserve">Lanus Oeste</t>
        </is>
      </c>
      <c r="B393" s="160" t="inlineStr">
        <is>
          <t xml:space="preserve">Oscar</t>
        </is>
      </c>
      <c r="C393" s="133" t="inlineStr">
        <is>
          <t xml:space="preserve">14 h</t>
        </is>
      </c>
      <c r="D393" s="133" t="inlineStr">
        <is>
          <t xml:space="preserve">Salón</t>
        </is>
      </c>
      <c r="E393" s="93">
        <v>13300</v>
      </c>
      <c r="F393" s="157" t="inlineStr">
        <is>
          <t xml:space="preserve">POSTRES</t>
        </is>
      </c>
      <c r="G393" s="157" t="inlineStr">
        <is>
          <t xml:space="preserve">1 BOMBON FRUTEZZA X8U.</t>
        </is>
      </c>
      <c r="H393" s="293" t="inlineStr">
        <is>
          <t xml:space="preserve">Rechazada</t>
        </is>
      </c>
      <c r="I393" s="157" t="inlineStr">
        <is>
          <t xml:space="preserve"/>
        </is>
      </c>
    </row>
    <row r="394">
      <c r="A394" s="156" t="inlineStr">
        <is>
          <t xml:space="preserve">Lanus Oeste</t>
        </is>
      </c>
      <c r="B394" s="160" t="inlineStr">
        <is>
          <t xml:space="preserve">Oscar</t>
        </is>
      </c>
      <c r="C394" s="133" t="inlineStr">
        <is>
          <t xml:space="preserve">14 h</t>
        </is>
      </c>
      <c r="D394" s="133" t="inlineStr">
        <is>
          <t xml:space="preserve">Salón</t>
        </is>
      </c>
      <c r="E394" s="93">
        <v>13630</v>
      </c>
      <c r="F394" s="157" t="inlineStr">
        <is>
          <t xml:space="preserve">HELADO X  KILO</t>
        </is>
      </c>
      <c r="G394" s="157" t="inlineStr">
        <is>
          <t xml:space="preserve">1 1 KILO + 1 FRUTILLAS DOBLE CHOCOLATE - GRIDO + 1 CUPS VASITO X 5UNI</t>
        </is>
      </c>
      <c r="H394" s="294" t="inlineStr">
        <is>
          <t xml:space="preserve">No ofrecida</t>
        </is>
      </c>
      <c r="I394" s="157" t="inlineStr">
        <is>
          <t xml:space="preserve"/>
        </is>
      </c>
    </row>
    <row r="395">
      <c r="A395" s="156" t="inlineStr">
        <is>
          <t xml:space="preserve">Lanus Oeste</t>
        </is>
      </c>
      <c r="B395" s="160" t="inlineStr">
        <is>
          <t xml:space="preserve">Oscar</t>
        </is>
      </c>
      <c r="C395" s="133" t="inlineStr">
        <is>
          <t xml:space="preserve">15 h</t>
        </is>
      </c>
      <c r="D395" s="133" t="inlineStr">
        <is>
          <t xml:space="preserve">Salón</t>
        </is>
      </c>
      <c r="E395" s="93">
        <v>4600</v>
      </c>
      <c r="F395" s="157" t="inlineStr">
        <is>
          <t xml:space="preserve">HELADO X BOCHA</t>
        </is>
      </c>
      <c r="G395" s="157" t="inlineStr">
        <is>
          <t xml:space="preserve">1 GIGANTE 2 BOCHAS + 1 PALITO BOMBON X UNIDAD</t>
        </is>
      </c>
      <c r="H395" s="293" t="inlineStr">
        <is>
          <t xml:space="preserve">Rechazada</t>
        </is>
      </c>
      <c r="I395" s="157" t="inlineStr">
        <is>
          <t xml:space="preserve"/>
        </is>
      </c>
    </row>
    <row r="396">
      <c r="A396" s="156" t="inlineStr">
        <is>
          <t xml:space="preserve">Lanus Oeste</t>
        </is>
      </c>
      <c r="B396" s="160" t="inlineStr">
        <is>
          <t xml:space="preserve">Oscar</t>
        </is>
      </c>
      <c r="C396" s="133" t="inlineStr">
        <is>
          <t xml:space="preserve">15 h</t>
        </is>
      </c>
      <c r="D396" s="133" t="inlineStr">
        <is>
          <t xml:space="preserve">Salón</t>
        </is>
      </c>
      <c r="E396" s="93">
        <v>17500</v>
      </c>
      <c r="F396" s="157" t="inlineStr">
        <is>
          <t xml:space="preserve">TORTAS</t>
        </is>
      </c>
      <c r="G396" s="157" t="inlineStr">
        <is>
          <t xml:space="preserve">1 TORTA FRUTILLAS CON CREMA</t>
        </is>
      </c>
      <c r="H396" s="293" t="inlineStr">
        <is>
          <t xml:space="preserve">Rechazada</t>
        </is>
      </c>
      <c r="I396" s="157" t="inlineStr">
        <is>
          <t xml:space="preserve"/>
        </is>
      </c>
    </row>
    <row r="397">
      <c r="A397" s="156" t="inlineStr">
        <is>
          <t xml:space="preserve">Lanus Oeste</t>
        </is>
      </c>
      <c r="B397" s="160" t="inlineStr">
        <is>
          <t xml:space="preserve">Oscar</t>
        </is>
      </c>
      <c r="C397" s="133" t="inlineStr">
        <is>
          <t xml:space="preserve">15 h</t>
        </is>
      </c>
      <c r="D397" s="133" t="inlineStr">
        <is>
          <t xml:space="preserve">Salón</t>
        </is>
      </c>
      <c r="E397" s="93">
        <v>14300</v>
      </c>
      <c r="F397" s="157" t="inlineStr">
        <is>
          <t xml:space="preserve">POSTRES</t>
        </is>
      </c>
      <c r="G397" s="157" t="inlineStr">
        <is>
          <t xml:space="preserve">1 BOMBON ESCOCES EN CAJA X 8</t>
        </is>
      </c>
      <c r="H397" s="293" t="inlineStr">
        <is>
          <t xml:space="preserve">Rechazada</t>
        </is>
      </c>
      <c r="I397" s="157" t="inlineStr">
        <is>
          <t xml:space="preserve"/>
        </is>
      </c>
    </row>
    <row r="398">
      <c r="A398" s="156" t="inlineStr">
        <is>
          <t xml:space="preserve">Lanus Oeste</t>
        </is>
      </c>
      <c r="B398" s="160" t="inlineStr">
        <is>
          <t xml:space="preserve">Oscar</t>
        </is>
      </c>
      <c r="C398" s="133" t="inlineStr">
        <is>
          <t xml:space="preserve">15 h</t>
        </is>
      </c>
      <c r="D398" s="133" t="inlineStr">
        <is>
          <t xml:space="preserve">Salón</t>
        </is>
      </c>
      <c r="E398" s="93">
        <v>13520</v>
      </c>
      <c r="F398" s="157" t="inlineStr">
        <is>
          <t xml:space="preserve">HELADO X  KILO</t>
        </is>
      </c>
      <c r="G398" s="157" t="inlineStr">
        <is>
          <t xml:space="preserve">1 1 KILO</t>
        </is>
      </c>
      <c r="H398" s="293" t="inlineStr">
        <is>
          <t xml:space="preserve">Rechazada</t>
        </is>
      </c>
      <c r="I398" s="157" t="inlineStr">
        <is>
          <t xml:space="preserve"/>
        </is>
      </c>
    </row>
    <row r="399">
      <c r="A399" s="156" t="inlineStr">
        <is>
          <t xml:space="preserve">Lanus Oeste</t>
        </is>
      </c>
      <c r="B399" s="160" t="inlineStr">
        <is>
          <t xml:space="preserve">Oscar</t>
        </is>
      </c>
      <c r="C399" s="133" t="inlineStr">
        <is>
          <t xml:space="preserve">15 h</t>
        </is>
      </c>
      <c r="D399" s="133" t="inlineStr">
        <is>
          <t xml:space="preserve">Salón</t>
        </is>
      </c>
      <c r="E399" s="93">
        <v>10000</v>
      </c>
      <c r="F399" s="157" t="inlineStr">
        <is>
          <t xml:space="preserve">GRIDOS</t>
        </is>
      </c>
      <c r="G399" s="157" t="inlineStr">
        <is>
          <t xml:space="preserve">1 CAPELINA FRUTILLA + 1 SUPER GRIDITO + 1 MINI GIGANTE</t>
        </is>
      </c>
      <c r="H399" s="293" t="inlineStr">
        <is>
          <t xml:space="preserve">Rechazada</t>
        </is>
      </c>
      <c r="I399" s="157" t="inlineStr">
        <is>
          <t xml:space="preserve"/>
        </is>
      </c>
    </row>
    <row r="400">
      <c r="A400" s="156" t="inlineStr">
        <is>
          <t xml:space="preserve">Lanus Oeste</t>
        </is>
      </c>
      <c r="B400" s="160" t="inlineStr">
        <is>
          <t xml:space="preserve">Oscar</t>
        </is>
      </c>
      <c r="C400" s="133" t="inlineStr">
        <is>
          <t xml:space="preserve">15 h</t>
        </is>
      </c>
      <c r="D400" s="133" t="inlineStr">
        <is>
          <t xml:space="preserve">Salón</t>
        </is>
      </c>
      <c r="E400" s="93">
        <v>3500</v>
      </c>
      <c r="F400" s="157" t="inlineStr">
        <is>
          <t xml:space="preserve">HELADO X BOCHA</t>
        </is>
      </c>
      <c r="G400" s="157" t="inlineStr">
        <is>
          <t xml:space="preserve">1 GIGANTE 2 BOCHAS</t>
        </is>
      </c>
      <c r="H400" s="293" t="inlineStr">
        <is>
          <t xml:space="preserve">Rechazada</t>
        </is>
      </c>
      <c r="I400" s="157" t="inlineStr">
        <is>
          <t xml:space="preserve"/>
        </is>
      </c>
    </row>
    <row r="401">
      <c r="A401" s="156" t="inlineStr">
        <is>
          <t xml:space="preserve">Lanus Oeste</t>
        </is>
      </c>
      <c r="B401" s="160" t="inlineStr">
        <is>
          <t xml:space="preserve">Oscar</t>
        </is>
      </c>
      <c r="C401" s="133" t="inlineStr">
        <is>
          <t xml:space="preserve">15 h</t>
        </is>
      </c>
      <c r="D401" s="133" t="inlineStr">
        <is>
          <t xml:space="preserve">Salón</t>
        </is>
      </c>
      <c r="E401" s="93">
        <v>16900</v>
      </c>
      <c r="F401" s="157" t="inlineStr">
        <is>
          <t xml:space="preserve">HELADO X  KILO</t>
        </is>
      </c>
      <c r="G401" s="157" t="inlineStr">
        <is>
          <t xml:space="preserve">1 1 KILO</t>
        </is>
      </c>
      <c r="H401" s="293" t="inlineStr">
        <is>
          <t xml:space="preserve">Rechazada</t>
        </is>
      </c>
      <c r="I401" s="157" t="inlineStr">
        <is>
          <t xml:space="preserve"/>
        </is>
      </c>
    </row>
    <row r="402">
      <c r="A402" s="156" t="inlineStr">
        <is>
          <t xml:space="preserve">Lanus Oeste</t>
        </is>
      </c>
      <c r="B402" s="160" t="inlineStr">
        <is>
          <t xml:space="preserve">Oscar</t>
        </is>
      </c>
      <c r="C402" s="133" t="inlineStr">
        <is>
          <t xml:space="preserve">15 h</t>
        </is>
      </c>
      <c r="D402" s="133" t="inlineStr">
        <is>
          <t xml:space="preserve">Salón</t>
        </is>
      </c>
      <c r="E402" s="93">
        <v>10000</v>
      </c>
      <c r="F402" s="157" t="inlineStr">
        <is>
          <t xml:space="preserve">HELADO X  KILO</t>
        </is>
      </c>
      <c r="G402" s="157" t="inlineStr">
        <is>
          <t xml:space="preserve">1 1/2  KILO + 1 1/2  KILO</t>
        </is>
      </c>
      <c r="H402" s="294" t="inlineStr">
        <is>
          <t xml:space="preserve">No ofrecida</t>
        </is>
      </c>
      <c r="I402" s="157" t="inlineStr">
        <is>
          <t xml:space="preserve"/>
        </is>
      </c>
    </row>
    <row r="403">
      <c r="A403" s="156" t="inlineStr">
        <is>
          <t xml:space="preserve">Lanus Oeste</t>
        </is>
      </c>
      <c r="B403" s="160" t="inlineStr">
        <is>
          <t xml:space="preserve">Oscar</t>
        </is>
      </c>
      <c r="C403" s="133" t="inlineStr">
        <is>
          <t xml:space="preserve">15 h</t>
        </is>
      </c>
      <c r="D403" s="133" t="inlineStr">
        <is>
          <t xml:space="preserve">Salón</t>
        </is>
      </c>
      <c r="E403" s="93">
        <v>17500</v>
      </c>
      <c r="F403" s="157" t="inlineStr">
        <is>
          <t xml:space="preserve">TORTAS</t>
        </is>
      </c>
      <c r="G403" s="157" t="inlineStr">
        <is>
          <t xml:space="preserve">1 TORTA FRUTILLAS CON CREMA</t>
        </is>
      </c>
      <c r="H403" s="293" t="inlineStr">
        <is>
          <t xml:space="preserve">Rechazada</t>
        </is>
      </c>
      <c r="I403" s="157" t="inlineStr">
        <is>
          <t xml:space="preserve"/>
        </is>
      </c>
    </row>
    <row r="404">
      <c r="A404" s="156" t="inlineStr">
        <is>
          <t xml:space="preserve">Lanus Oeste</t>
        </is>
      </c>
      <c r="B404" s="160" t="inlineStr">
        <is>
          <t xml:space="preserve">Oscar</t>
        </is>
      </c>
      <c r="C404" s="133" t="inlineStr">
        <is>
          <t xml:space="preserve">15 h</t>
        </is>
      </c>
      <c r="D404" s="133" t="inlineStr">
        <is>
          <t xml:space="preserve">Salón</t>
        </is>
      </c>
      <c r="E404" s="93">
        <v>13300</v>
      </c>
      <c r="F404" s="157" t="inlineStr">
        <is>
          <t xml:space="preserve">POSTRES</t>
        </is>
      </c>
      <c r="G404" s="157" t="inlineStr">
        <is>
          <t xml:space="preserve">1 BOMBON FRUTEZZA X8U.</t>
        </is>
      </c>
      <c r="H404" s="293" t="inlineStr">
        <is>
          <t xml:space="preserve">Rechazada</t>
        </is>
      </c>
      <c r="I404" s="157" t="inlineStr">
        <is>
          <t xml:space="preserve"/>
        </is>
      </c>
    </row>
    <row r="405">
      <c r="A405" s="156" t="inlineStr">
        <is>
          <t xml:space="preserve">Lanus Oeste</t>
        </is>
      </c>
      <c r="B405" s="160" t="inlineStr">
        <is>
          <t xml:space="preserve">Oscar</t>
        </is>
      </c>
      <c r="C405" s="133" t="inlineStr">
        <is>
          <t xml:space="preserve">15 h</t>
        </is>
      </c>
      <c r="D405" s="133" t="inlineStr">
        <is>
          <t xml:space="preserve">Salón</t>
        </is>
      </c>
      <c r="E405" s="93">
        <v>17500</v>
      </c>
      <c r="F405" s="157" t="inlineStr">
        <is>
          <t xml:space="preserve">TORTAS</t>
        </is>
      </c>
      <c r="G405" s="157" t="inlineStr">
        <is>
          <t xml:space="preserve">1 TORTA COOKIES AND CREAM</t>
        </is>
      </c>
      <c r="H405" s="293" t="inlineStr">
        <is>
          <t xml:space="preserve">Rechazada</t>
        </is>
      </c>
      <c r="I405" s="157" t="inlineStr">
        <is>
          <t xml:space="preserve"/>
        </is>
      </c>
    </row>
    <row r="406">
      <c r="A406" s="156" t="inlineStr">
        <is>
          <t xml:space="preserve">Lanus Oeste</t>
        </is>
      </c>
      <c r="B406" s="160" t="inlineStr">
        <is>
          <t xml:space="preserve">Oscar</t>
        </is>
      </c>
      <c r="C406" s="133" t="inlineStr">
        <is>
          <t xml:space="preserve">15 h</t>
        </is>
      </c>
      <c r="D406" s="133" t="inlineStr">
        <is>
          <t xml:space="preserve">Salón</t>
        </is>
      </c>
      <c r="E406" s="93">
        <v>12800</v>
      </c>
      <c r="F406" s="157" t="inlineStr">
        <is>
          <t xml:space="preserve">HELADO X  KILO</t>
        </is>
      </c>
      <c r="G406" s="157" t="inlineStr">
        <is>
          <t xml:space="preserve">2 1/4  KILO</t>
        </is>
      </c>
      <c r="H406" s="293" t="inlineStr">
        <is>
          <t xml:space="preserve">Rechazada</t>
        </is>
      </c>
      <c r="I406" s="157" t="inlineStr">
        <is>
          <t xml:space="preserve"/>
        </is>
      </c>
    </row>
    <row r="407">
      <c r="A407" s="156" t="inlineStr">
        <is>
          <t xml:space="preserve">Lanus Oeste</t>
        </is>
      </c>
      <c r="B407" s="160" t="inlineStr">
        <is>
          <t xml:space="preserve">Oscar</t>
        </is>
      </c>
      <c r="C407" s="133" t="inlineStr">
        <is>
          <t xml:space="preserve">15 h</t>
        </is>
      </c>
      <c r="D407" s="133" t="inlineStr">
        <is>
          <t xml:space="preserve">Salón</t>
        </is>
      </c>
      <c r="E407" s="93">
        <v>10000</v>
      </c>
      <c r="F407" s="157" t="inlineStr">
        <is>
          <t xml:space="preserve">HELADO X  KILO</t>
        </is>
      </c>
      <c r="G407" s="157" t="inlineStr">
        <is>
          <t xml:space="preserve">1 1/2  KILO + 1 1/2  KILO</t>
        </is>
      </c>
      <c r="H407" s="294" t="inlineStr">
        <is>
          <t xml:space="preserve">No ofrecida</t>
        </is>
      </c>
      <c r="I407" s="157" t="inlineStr">
        <is>
          <t xml:space="preserve"/>
        </is>
      </c>
    </row>
    <row r="408">
      <c r="A408" s="156" t="inlineStr">
        <is>
          <t xml:space="preserve">Lanus Oeste</t>
        </is>
      </c>
      <c r="B408" s="160" t="inlineStr">
        <is>
          <t xml:space="preserve">Oscar</t>
        </is>
      </c>
      <c r="C408" s="133" t="inlineStr">
        <is>
          <t xml:space="preserve">15 h</t>
        </is>
      </c>
      <c r="D408" s="133" t="inlineStr">
        <is>
          <t xml:space="preserve">Salón</t>
        </is>
      </c>
      <c r="E408" s="93">
        <v>4300</v>
      </c>
      <c r="F408" s="157" t="inlineStr">
        <is>
          <t xml:space="preserve">GRIDOS</t>
        </is>
      </c>
      <c r="G408" s="157" t="inlineStr">
        <is>
          <t xml:space="preserve">1 CAPELINA TRAMONTANA</t>
        </is>
      </c>
      <c r="H408" s="293" t="inlineStr">
        <is>
          <t xml:space="preserve">Rechazada</t>
        </is>
      </c>
      <c r="I408" s="157" t="inlineStr">
        <is>
          <t xml:space="preserve"/>
        </is>
      </c>
    </row>
    <row r="409">
      <c r="A409" s="156" t="inlineStr">
        <is>
          <t xml:space="preserve">Lanus Oeste</t>
        </is>
      </c>
      <c r="B409" s="160" t="inlineStr">
        <is>
          <t xml:space="preserve">Oscar</t>
        </is>
      </c>
      <c r="C409" s="133" t="inlineStr">
        <is>
          <t xml:space="preserve">16 h</t>
        </is>
      </c>
      <c r="D409" s="133" t="inlineStr">
        <is>
          <t xml:space="preserve">Salón</t>
        </is>
      </c>
      <c r="E409" s="93">
        <v>8800</v>
      </c>
      <c r="F409" s="157" t="inlineStr">
        <is>
          <t xml:space="preserve">TENTACION</t>
        </is>
      </c>
      <c r="G409" s="157" t="inlineStr">
        <is>
          <t xml:space="preserve">1 T.DDLECHE</t>
        </is>
      </c>
      <c r="H409" s="293" t="inlineStr">
        <is>
          <t xml:space="preserve">Rechazada</t>
        </is>
      </c>
      <c r="I409" s="157" t="inlineStr">
        <is>
          <t xml:space="preserve"/>
        </is>
      </c>
    </row>
    <row r="410">
      <c r="A410" s="156" t="inlineStr">
        <is>
          <t xml:space="preserve">Lanus Oeste</t>
        </is>
      </c>
      <c r="B410" s="160" t="inlineStr">
        <is>
          <t xml:space="preserve">Oscar</t>
        </is>
      </c>
      <c r="C410" s="133" t="inlineStr">
        <is>
          <t xml:space="preserve">16 h</t>
        </is>
      </c>
      <c r="D410" s="133" t="inlineStr">
        <is>
          <t xml:space="preserve">Salón</t>
        </is>
      </c>
      <c r="E410" s="93">
        <v>7300</v>
      </c>
      <c r="F410" s="157" t="inlineStr">
        <is>
          <t xml:space="preserve">POSTRES</t>
        </is>
      </c>
      <c r="G410" s="157" t="inlineStr">
        <is>
          <t xml:space="preserve">1 ALFAJOR SECRETO COOKIES AND CREAM X UN. + 1 BOMBÓN CHOCO AVELLANAS X UN + 1 BOMBON ESCOCES X UNIDAD</t>
        </is>
      </c>
      <c r="H410" s="293" t="inlineStr">
        <is>
          <t xml:space="preserve">Rechazada</t>
        </is>
      </c>
      <c r="I410" s="157" t="inlineStr">
        <is>
          <t xml:space="preserve"/>
        </is>
      </c>
    </row>
    <row r="411">
      <c r="A411" s="156" t="inlineStr">
        <is>
          <t xml:space="preserve">Lanus Oeste</t>
        </is>
      </c>
      <c r="B411" s="160" t="inlineStr">
        <is>
          <t xml:space="preserve">Oscar</t>
        </is>
      </c>
      <c r="C411" s="133" t="inlineStr">
        <is>
          <t xml:space="preserve">16 h</t>
        </is>
      </c>
      <c r="D411" s="133" t="inlineStr">
        <is>
          <t xml:space="preserve">Salón</t>
        </is>
      </c>
      <c r="E411" s="93">
        <v>13000</v>
      </c>
      <c r="F411" s="157" t="inlineStr">
        <is>
          <t xml:space="preserve">CAFETERIA</t>
        </is>
      </c>
      <c r="G411" s="157" t="inlineStr">
        <is>
          <t xml:space="preserve">1 CAFÉ CON LECHE GRANDE + 1 MUFFIN VAINILLA + 1 CAFÉ CON LECHE GRANDE</t>
        </is>
      </c>
      <c r="H411" s="227" t="inlineStr">
        <is>
          <t xml:space="preserve">Aceptada</t>
        </is>
      </c>
      <c r="I411" s="160" t="inlineStr">
        <is>
          <t xml:space="preserve">1 TORTA COCO C/DULCE DE LECHE 120G.</t>
        </is>
      </c>
    </row>
    <row r="412">
      <c r="A412" s="156" t="inlineStr">
        <is>
          <t xml:space="preserve">Lanus Oeste</t>
        </is>
      </c>
      <c r="B412" s="160" t="inlineStr">
        <is>
          <t xml:space="preserve">Oscar</t>
        </is>
      </c>
      <c r="C412" s="133" t="inlineStr">
        <is>
          <t xml:space="preserve">16 h</t>
        </is>
      </c>
      <c r="D412" s="133" t="inlineStr">
        <is>
          <t xml:space="preserve">Salón</t>
        </is>
      </c>
      <c r="E412" s="93">
        <v>33900</v>
      </c>
      <c r="F412" s="157" t="inlineStr">
        <is>
          <t xml:space="preserve">POSTRES</t>
        </is>
      </c>
      <c r="G412" s="157" t="inlineStr">
        <is>
          <t xml:space="preserve">1 BOMBON CROCANTE EN CAJA X 8 + 1 BOMBON FRUTEZZA X8U. + 1 PALITO BOMBÓN X10 UN.</t>
        </is>
      </c>
      <c r="H412" s="293" t="inlineStr">
        <is>
          <t xml:space="preserve">Rechazada</t>
        </is>
      </c>
      <c r="I412" s="157" t="inlineStr">
        <is>
          <t xml:space="preserve"/>
        </is>
      </c>
    </row>
    <row r="413">
      <c r="A413" s="156" t="inlineStr">
        <is>
          <t xml:space="preserve">Lanus Oeste</t>
        </is>
      </c>
      <c r="B413" s="160" t="inlineStr">
        <is>
          <t xml:space="preserve">Oscar</t>
        </is>
      </c>
      <c r="C413" s="133" t="inlineStr">
        <is>
          <t xml:space="preserve">16 h</t>
        </is>
      </c>
      <c r="D413" s="133" t="inlineStr">
        <is>
          <t xml:space="preserve">Salón</t>
        </is>
      </c>
      <c r="E413" s="93">
        <v>10000</v>
      </c>
      <c r="F413" s="157" t="inlineStr">
        <is>
          <t xml:space="preserve">HELADO X  KILO</t>
        </is>
      </c>
      <c r="G413" s="157" t="inlineStr">
        <is>
          <t xml:space="preserve">1 1/2  KILO</t>
        </is>
      </c>
      <c r="H413" s="293" t="inlineStr">
        <is>
          <t xml:space="preserve">Rechazada</t>
        </is>
      </c>
      <c r="I413" s="157" t="inlineStr">
        <is>
          <t xml:space="preserve"/>
        </is>
      </c>
    </row>
    <row r="414">
      <c r="A414" s="156" t="inlineStr">
        <is>
          <t xml:space="preserve">Lanus Oeste</t>
        </is>
      </c>
      <c r="B414" s="160" t="inlineStr">
        <is>
          <t xml:space="preserve">Oscar</t>
        </is>
      </c>
      <c r="C414" s="133" t="inlineStr">
        <is>
          <t xml:space="preserve">16 h</t>
        </is>
      </c>
      <c r="D414" s="133" t="inlineStr">
        <is>
          <t xml:space="preserve">Salón</t>
        </is>
      </c>
      <c r="E414" s="93">
        <v>16900</v>
      </c>
      <c r="F414" s="157" t="inlineStr">
        <is>
          <t xml:space="preserve">HELADO X  KILO</t>
        </is>
      </c>
      <c r="G414" s="157" t="inlineStr">
        <is>
          <t xml:space="preserve">1 1 KILO</t>
        </is>
      </c>
      <c r="H414" s="293" t="inlineStr">
        <is>
          <t xml:space="preserve">Rechazada</t>
        </is>
      </c>
      <c r="I414" s="157" t="inlineStr">
        <is>
          <t xml:space="preserve"/>
        </is>
      </c>
    </row>
    <row r="415">
      <c r="A415" s="156" t="inlineStr">
        <is>
          <t xml:space="preserve">Lanus Oeste</t>
        </is>
      </c>
      <c r="B415" s="160" t="inlineStr">
        <is>
          <t xml:space="preserve">Oscar</t>
        </is>
      </c>
      <c r="C415" s="133" t="inlineStr">
        <is>
          <t xml:space="preserve">16 h</t>
        </is>
      </c>
      <c r="D415" s="133" t="inlineStr">
        <is>
          <t xml:space="preserve">Salón</t>
        </is>
      </c>
      <c r="E415" s="93">
        <v>24900</v>
      </c>
      <c r="F415" s="157" t="inlineStr">
        <is>
          <t xml:space="preserve">HELADO X  KILO</t>
        </is>
      </c>
      <c r="G415" s="157" t="inlineStr">
        <is>
          <t xml:space="preserve">1 1 KILO</t>
        </is>
      </c>
      <c r="H415" s="227" t="inlineStr">
        <is>
          <t xml:space="preserve">Aceptada</t>
        </is>
      </c>
      <c r="I415" s="160" t="inlineStr">
        <is>
          <t xml:space="preserve">1 1/2  KILO</t>
        </is>
      </c>
    </row>
    <row r="416">
      <c r="A416" s="156" t="inlineStr">
        <is>
          <t xml:space="preserve">Lanus Oeste</t>
        </is>
      </c>
      <c r="B416" s="160" t="inlineStr">
        <is>
          <t xml:space="preserve">Oscar</t>
        </is>
      </c>
      <c r="C416" s="133" t="inlineStr">
        <is>
          <t xml:space="preserve">16 h</t>
        </is>
      </c>
      <c r="D416" s="133" t="inlineStr">
        <is>
          <t xml:space="preserve">Salón</t>
        </is>
      </c>
      <c r="E416" s="93">
        <v>22400</v>
      </c>
      <c r="F416" s="157" t="inlineStr">
        <is>
          <t xml:space="preserve">CONGELADOS</t>
        </is>
      </c>
      <c r="G416" s="157" t="inlineStr">
        <is>
          <t xml:space="preserve">3 FRAMBUESAS DOBLE CHOCOLATE - GRIDO + 1 FRUTILLAS DOBLE CHOCOLATE - GRIDO</t>
        </is>
      </c>
      <c r="H416" s="293" t="inlineStr">
        <is>
          <t xml:space="preserve">Rechazada</t>
        </is>
      </c>
      <c r="I416" s="157" t="inlineStr">
        <is>
          <t xml:space="preserve"/>
        </is>
      </c>
    </row>
    <row r="417">
      <c r="A417" s="156" t="inlineStr">
        <is>
          <t xml:space="preserve">Lanus Oeste</t>
        </is>
      </c>
      <c r="B417" s="160" t="inlineStr">
        <is>
          <t xml:space="preserve">Oscar</t>
        </is>
      </c>
      <c r="C417" s="133" t="inlineStr">
        <is>
          <t xml:space="preserve">16 h</t>
        </is>
      </c>
      <c r="D417" s="133" t="inlineStr">
        <is>
          <t xml:space="preserve">Salón</t>
        </is>
      </c>
      <c r="E417" s="93">
        <v>3900</v>
      </c>
      <c r="F417" s="157" t="inlineStr">
        <is>
          <t xml:space="preserve">HELADO X BOCHA</t>
        </is>
      </c>
      <c r="G417" s="157" t="inlineStr">
        <is>
          <t xml:space="preserve">1 GIGANTE 3 BOCHAS</t>
        </is>
      </c>
      <c r="H417" s="293" t="inlineStr">
        <is>
          <t xml:space="preserve">Rechazada</t>
        </is>
      </c>
      <c r="I417" s="157" t="inlineStr">
        <is>
          <t xml:space="preserve"/>
        </is>
      </c>
    </row>
    <row r="418">
      <c r="A418" s="156" t="inlineStr">
        <is>
          <t xml:space="preserve">Lanus Oeste</t>
        </is>
      </c>
      <c r="B418" s="160" t="inlineStr">
        <is>
          <t xml:space="preserve">Oscar</t>
        </is>
      </c>
      <c r="C418" s="133" t="inlineStr">
        <is>
          <t xml:space="preserve">16 h</t>
        </is>
      </c>
      <c r="D418" s="133" t="inlineStr">
        <is>
          <t xml:space="preserve">Salón</t>
        </is>
      </c>
      <c r="E418" s="93">
        <v>8800</v>
      </c>
      <c r="F418" s="157" t="inlineStr">
        <is>
          <t xml:space="preserve">TENTACION</t>
        </is>
      </c>
      <c r="G418" s="157" t="inlineStr">
        <is>
          <t xml:space="preserve">1 T.1 LT DDL GRANIZADO</t>
        </is>
      </c>
      <c r="H418" s="293" t="inlineStr">
        <is>
          <t xml:space="preserve">Rechazada</t>
        </is>
      </c>
      <c r="I418" s="157" t="inlineStr">
        <is>
          <t xml:space="preserve"/>
        </is>
      </c>
    </row>
    <row r="419">
      <c r="A419" s="156" t="inlineStr">
        <is>
          <t xml:space="preserve">Lanus Oeste</t>
        </is>
      </c>
      <c r="B419" s="160" t="inlineStr">
        <is>
          <t xml:space="preserve">Oscar</t>
        </is>
      </c>
      <c r="C419" s="133" t="inlineStr">
        <is>
          <t xml:space="preserve">16 h</t>
        </is>
      </c>
      <c r="D419" s="133" t="inlineStr">
        <is>
          <t xml:space="preserve">Salón</t>
        </is>
      </c>
      <c r="E419" s="93">
        <v>11400</v>
      </c>
      <c r="F419" s="157" t="inlineStr">
        <is>
          <t xml:space="preserve">HELADO X  KILO</t>
        </is>
      </c>
      <c r="G419" s="157" t="inlineStr">
        <is>
          <t xml:space="preserve">1 1/4  KILO</t>
        </is>
      </c>
      <c r="H419" s="227" t="inlineStr">
        <is>
          <t xml:space="preserve">Aceptada</t>
        </is>
      </c>
      <c r="I419" s="160" t="inlineStr">
        <is>
          <t xml:space="preserve">1 1/4  KILO</t>
        </is>
      </c>
    </row>
    <row r="420">
      <c r="A420" s="156" t="inlineStr">
        <is>
          <t xml:space="preserve">Lanus Oeste</t>
        </is>
      </c>
      <c r="B420" s="160" t="inlineStr">
        <is>
          <t xml:space="preserve">Wanda</t>
        </is>
      </c>
      <c r="C420" s="133" t="inlineStr">
        <is>
          <t xml:space="preserve">00 h</t>
        </is>
      </c>
      <c r="D420" s="133" t="inlineStr">
        <is>
          <t xml:space="preserve">Salón</t>
        </is>
      </c>
      <c r="E420" s="93">
        <v>6400</v>
      </c>
      <c r="F420" s="157" t="inlineStr">
        <is>
          <t xml:space="preserve">HELADO X  KILO</t>
        </is>
      </c>
      <c r="G420" s="157" t="inlineStr">
        <is>
          <t xml:space="preserve">1 1/4  KILO</t>
        </is>
      </c>
      <c r="H420" s="293" t="inlineStr">
        <is>
          <t xml:space="preserve">Rechazada</t>
        </is>
      </c>
      <c r="I420" s="157" t="inlineStr">
        <is>
          <t xml:space="preserve"/>
        </is>
      </c>
    </row>
    <row r="421">
      <c r="A421" s="156" t="inlineStr">
        <is>
          <t xml:space="preserve">Lanus Oeste</t>
        </is>
      </c>
      <c r="B421" s="160" t="inlineStr">
        <is>
          <t xml:space="preserve">Wanda</t>
        </is>
      </c>
      <c r="C421" s="133" t="inlineStr">
        <is>
          <t xml:space="preserve">00 h</t>
        </is>
      </c>
      <c r="D421" s="133" t="inlineStr">
        <is>
          <t xml:space="preserve">Salón</t>
        </is>
      </c>
      <c r="E421" s="93">
        <v>17900</v>
      </c>
      <c r="F421" s="157" t="inlineStr">
        <is>
          <t xml:space="preserve">HELADO X  KILO</t>
        </is>
      </c>
      <c r="G421" s="157" t="inlineStr">
        <is>
          <t xml:space="preserve">1 1 KILO + 1 CUPS CONITO X 5 UN.</t>
        </is>
      </c>
      <c r="H421" s="293" t="inlineStr">
        <is>
          <t xml:space="preserve">Rechazada</t>
        </is>
      </c>
      <c r="I421" s="157" t="inlineStr">
        <is>
          <t xml:space="preserve"/>
        </is>
      </c>
    </row>
    <row r="422">
      <c r="A422" s="156" t="inlineStr">
        <is>
          <t xml:space="preserve">Lanus Oeste</t>
        </is>
      </c>
      <c r="B422" s="160" t="inlineStr">
        <is>
          <t xml:space="preserve">Wanda</t>
        </is>
      </c>
      <c r="C422" s="133" t="inlineStr">
        <is>
          <t xml:space="preserve">00 h</t>
        </is>
      </c>
      <c r="D422" s="133" t="inlineStr">
        <is>
          <t xml:space="preserve">Salón</t>
        </is>
      </c>
      <c r="E422" s="93">
        <v>15100</v>
      </c>
      <c r="F422" s="157" t="inlineStr">
        <is>
          <t xml:space="preserve">FRIZZIO</t>
        </is>
      </c>
      <c r="G422" s="157" t="inlineStr">
        <is>
          <t xml:space="preserve">1 PIZZA JAMON + 3 BOMBÓN CHOCO AVELLANAS X UN</t>
        </is>
      </c>
      <c r="H422" s="293" t="inlineStr">
        <is>
          <t xml:space="preserve">Rechazada</t>
        </is>
      </c>
      <c r="I422" s="157" t="inlineStr">
        <is>
          <t xml:space="preserve"/>
        </is>
      </c>
    </row>
    <row r="423">
      <c r="A423" s="156" t="inlineStr">
        <is>
          <t xml:space="preserve">Lanus Oeste</t>
        </is>
      </c>
      <c r="B423" s="160" t="inlineStr">
        <is>
          <t xml:space="preserve">Wanda</t>
        </is>
      </c>
      <c r="C423" s="133" t="inlineStr">
        <is>
          <t xml:space="preserve">17 h</t>
        </is>
      </c>
      <c r="D423" s="133" t="inlineStr">
        <is>
          <t xml:space="preserve">Salón</t>
        </is>
      </c>
      <c r="E423" s="93">
        <v>21900</v>
      </c>
      <c r="F423" s="157" t="inlineStr">
        <is>
          <t xml:space="preserve">HELADO X  KILO</t>
        </is>
      </c>
      <c r="G423" s="157" t="inlineStr">
        <is>
          <t xml:space="preserve">1 1 KILO</t>
        </is>
      </c>
      <c r="H423" s="227" t="inlineStr">
        <is>
          <t xml:space="preserve">Aceptada</t>
        </is>
      </c>
      <c r="I423" s="160" t="inlineStr">
        <is>
          <t xml:space="preserve">1 1/4  KILO</t>
        </is>
      </c>
    </row>
    <row r="424">
      <c r="A424" s="156" t="inlineStr">
        <is>
          <t xml:space="preserve">Lanus Oeste</t>
        </is>
      </c>
      <c r="B424" s="160" t="inlineStr">
        <is>
          <t xml:space="preserve">Wanda</t>
        </is>
      </c>
      <c r="C424" s="133" t="inlineStr">
        <is>
          <t xml:space="preserve">17 h</t>
        </is>
      </c>
      <c r="D424" s="133" t="inlineStr">
        <is>
          <t xml:space="preserve">Salón</t>
        </is>
      </c>
      <c r="E424" s="93">
        <v>3100</v>
      </c>
      <c r="F424" s="157" t="inlineStr">
        <is>
          <t xml:space="preserve">LINEAS ESPECIALES</t>
        </is>
      </c>
      <c r="G424" s="157" t="inlineStr">
        <is>
          <t xml:space="preserve">1 YOGURT HEL. FRUTILLA X U</t>
        </is>
      </c>
      <c r="H424" s="293" t="inlineStr">
        <is>
          <t xml:space="preserve">Rechazada</t>
        </is>
      </c>
      <c r="I424" s="157" t="inlineStr">
        <is>
          <t xml:space="preserve"/>
        </is>
      </c>
    </row>
    <row r="425">
      <c r="A425" s="156" t="inlineStr">
        <is>
          <t xml:space="preserve">Lanus Oeste</t>
        </is>
      </c>
      <c r="B425" s="160" t="inlineStr">
        <is>
          <t xml:space="preserve">Wanda</t>
        </is>
      </c>
      <c r="C425" s="133" t="inlineStr">
        <is>
          <t xml:space="preserve">17 h</t>
        </is>
      </c>
      <c r="D425" s="133" t="inlineStr">
        <is>
          <t xml:space="preserve">Salón</t>
        </is>
      </c>
      <c r="E425" s="93">
        <v>19800</v>
      </c>
      <c r="F425" s="157" t="inlineStr">
        <is>
          <t xml:space="preserve">HELADO X  KILO</t>
        </is>
      </c>
      <c r="G425" s="157" t="inlineStr">
        <is>
          <t xml:space="preserve">1 1 KILO + 1 SUPER GRIDITO</t>
        </is>
      </c>
      <c r="H425" s="293" t="inlineStr">
        <is>
          <t xml:space="preserve">Rechazada</t>
        </is>
      </c>
      <c r="I425" s="157" t="inlineStr">
        <is>
          <t xml:space="preserve"/>
        </is>
      </c>
    </row>
    <row r="426">
      <c r="A426" s="156" t="inlineStr">
        <is>
          <t xml:space="preserve">Lanus Oeste</t>
        </is>
      </c>
      <c r="B426" s="160" t="inlineStr">
        <is>
          <t xml:space="preserve">Wanda</t>
        </is>
      </c>
      <c r="C426" s="133" t="inlineStr">
        <is>
          <t xml:space="preserve">17 h</t>
        </is>
      </c>
      <c r="D426" s="133" t="inlineStr">
        <is>
          <t xml:space="preserve">Salón</t>
        </is>
      </c>
      <c r="E426" s="93">
        <v>31200</v>
      </c>
      <c r="F426" s="157" t="inlineStr">
        <is>
          <t xml:space="preserve">HELADO X  KILO</t>
        </is>
      </c>
      <c r="G426" s="157" t="inlineStr">
        <is>
          <t xml:space="preserve">4 1/4  KILO + 1 FRAMBUESAS DOBLE CHOCOLATE - GRIDO</t>
        </is>
      </c>
      <c r="H426" s="293" t="inlineStr">
        <is>
          <t xml:space="preserve">Rechazada</t>
        </is>
      </c>
      <c r="I426" s="157" t="inlineStr">
        <is>
          <t xml:space="preserve"/>
        </is>
      </c>
    </row>
    <row r="427">
      <c r="A427" s="156" t="inlineStr">
        <is>
          <t xml:space="preserve">Lanus Oeste</t>
        </is>
      </c>
      <c r="B427" s="160" t="inlineStr">
        <is>
          <t xml:space="preserve">Wanda</t>
        </is>
      </c>
      <c r="C427" s="133" t="inlineStr">
        <is>
          <t xml:space="preserve">17 h</t>
        </is>
      </c>
      <c r="D427" s="133" t="inlineStr">
        <is>
          <t xml:space="preserve">Salón</t>
        </is>
      </c>
      <c r="E427" s="93">
        <v>2400</v>
      </c>
      <c r="F427" s="157" t="inlineStr">
        <is>
          <t xml:space="preserve">POSTRES</t>
        </is>
      </c>
      <c r="G427" s="157" t="inlineStr">
        <is>
          <t xml:space="preserve">1 BOMBÓN CHOCO AVELLANAS X UN</t>
        </is>
      </c>
      <c r="H427" s="294" t="inlineStr">
        <is>
          <t xml:space="preserve">No ofrecida</t>
        </is>
      </c>
      <c r="I427" s="157" t="inlineStr">
        <is>
          <t xml:space="preserve"/>
        </is>
      </c>
    </row>
    <row r="428">
      <c r="A428" s="156" t="inlineStr">
        <is>
          <t xml:space="preserve">Lanus Oeste</t>
        </is>
      </c>
      <c r="B428" s="160" t="inlineStr">
        <is>
          <t xml:space="preserve">Wanda</t>
        </is>
      </c>
      <c r="C428" s="133" t="inlineStr">
        <is>
          <t xml:space="preserve">17 h</t>
        </is>
      </c>
      <c r="D428" s="133" t="inlineStr">
        <is>
          <t xml:space="preserve">Salón</t>
        </is>
      </c>
      <c r="E428" s="93">
        <v>11000</v>
      </c>
      <c r="F428" s="157" t="inlineStr">
        <is>
          <t xml:space="preserve">HELADO X  KILO</t>
        </is>
      </c>
      <c r="G428" s="157" t="inlineStr">
        <is>
          <t xml:space="preserve">1 1/2  KILO + 1 CUPS VASITO X 5UNI</t>
        </is>
      </c>
      <c r="H428" s="293" t="inlineStr">
        <is>
          <t xml:space="preserve">Rechazada</t>
        </is>
      </c>
      <c r="I428" s="157" t="inlineStr">
        <is>
          <t xml:space="preserve"/>
        </is>
      </c>
    </row>
    <row r="429">
      <c r="A429" s="156" t="inlineStr">
        <is>
          <t xml:space="preserve">Lanus Oeste</t>
        </is>
      </c>
      <c r="B429" s="160" t="inlineStr">
        <is>
          <t xml:space="preserve">Wanda</t>
        </is>
      </c>
      <c r="C429" s="133" t="inlineStr">
        <is>
          <t xml:space="preserve">17 h</t>
        </is>
      </c>
      <c r="D429" s="133" t="inlineStr">
        <is>
          <t xml:space="preserve">Salón</t>
        </is>
      </c>
      <c r="E429" s="93">
        <v>8600</v>
      </c>
      <c r="F429" s="157" t="inlineStr">
        <is>
          <t xml:space="preserve">HELADO X  KILO</t>
        </is>
      </c>
      <c r="G429" s="157" t="inlineStr">
        <is>
          <t xml:space="preserve">1 1/4  KILO + 1 BOMBON FRUTEZZA XU.</t>
        </is>
      </c>
      <c r="H429" s="293" t="inlineStr">
        <is>
          <t xml:space="preserve">Rechazada</t>
        </is>
      </c>
      <c r="I429" s="157" t="inlineStr">
        <is>
          <t xml:space="preserve"/>
        </is>
      </c>
    </row>
    <row r="430">
      <c r="A430" s="156" t="inlineStr">
        <is>
          <t xml:space="preserve">Lanus Oeste</t>
        </is>
      </c>
      <c r="B430" s="160" t="inlineStr">
        <is>
          <t xml:space="preserve">Wanda</t>
        </is>
      </c>
      <c r="C430" s="133" t="inlineStr">
        <is>
          <t xml:space="preserve">17 h</t>
        </is>
      </c>
      <c r="D430" s="133" t="inlineStr">
        <is>
          <t xml:space="preserve">Salón</t>
        </is>
      </c>
      <c r="E430" s="93">
        <v>16900</v>
      </c>
      <c r="F430" s="157" t="inlineStr">
        <is>
          <t xml:space="preserve">HELADO X  KILO</t>
        </is>
      </c>
      <c r="G430" s="157" t="inlineStr">
        <is>
          <t xml:space="preserve">1 1 KILO</t>
        </is>
      </c>
      <c r="H430" s="293" t="inlineStr">
        <is>
          <t xml:space="preserve">Rechazada</t>
        </is>
      </c>
      <c r="I430" s="157" t="inlineStr">
        <is>
          <t xml:space="preserve"/>
        </is>
      </c>
    </row>
    <row r="431">
      <c r="A431" s="156" t="inlineStr">
        <is>
          <t xml:space="preserve">Lanus Oeste</t>
        </is>
      </c>
      <c r="B431" s="160" t="inlineStr">
        <is>
          <t xml:space="preserve">Wanda</t>
        </is>
      </c>
      <c r="C431" s="133" t="inlineStr">
        <is>
          <t xml:space="preserve">17 h</t>
        </is>
      </c>
      <c r="D431" s="133" t="inlineStr">
        <is>
          <t xml:space="preserve">Salón</t>
        </is>
      </c>
      <c r="E431" s="93">
        <v>2200</v>
      </c>
      <c r="F431" s="157" t="inlineStr">
        <is>
          <t xml:space="preserve">POSTRES</t>
        </is>
      </c>
      <c r="G431" s="157" t="inlineStr">
        <is>
          <t xml:space="preserve">1 BOMBON FRUTEZZA XU.</t>
        </is>
      </c>
      <c r="H431" s="294" t="inlineStr">
        <is>
          <t xml:space="preserve">No ofrecida</t>
        </is>
      </c>
      <c r="I431" s="157" t="inlineStr">
        <is>
          <t xml:space="preserve"/>
        </is>
      </c>
    </row>
    <row r="432">
      <c r="A432" s="156" t="inlineStr">
        <is>
          <t xml:space="preserve">Lanus Oeste</t>
        </is>
      </c>
      <c r="B432" s="160" t="inlineStr">
        <is>
          <t xml:space="preserve">Wanda</t>
        </is>
      </c>
      <c r="C432" s="133" t="inlineStr">
        <is>
          <t xml:space="preserve">17 h</t>
        </is>
      </c>
      <c r="D432" s="133" t="inlineStr">
        <is>
          <t xml:space="preserve">Salón</t>
        </is>
      </c>
      <c r="E432" s="93">
        <v>8400</v>
      </c>
      <c r="F432" s="157" t="inlineStr">
        <is>
          <t xml:space="preserve">HELADO X BOCHA</t>
        </is>
      </c>
      <c r="G432" s="157" t="inlineStr">
        <is>
          <t xml:space="preserve">3 MINI GIGANTE</t>
        </is>
      </c>
      <c r="H432" s="293" t="inlineStr">
        <is>
          <t xml:space="preserve">Rechazada</t>
        </is>
      </c>
      <c r="I432" s="157" t="inlineStr">
        <is>
          <t xml:space="preserve"/>
        </is>
      </c>
    </row>
    <row r="433">
      <c r="A433" s="156" t="inlineStr">
        <is>
          <t xml:space="preserve">Lanus Oeste</t>
        </is>
      </c>
      <c r="B433" s="160" t="inlineStr">
        <is>
          <t xml:space="preserve">Wanda</t>
        </is>
      </c>
      <c r="C433" s="133" t="inlineStr">
        <is>
          <t xml:space="preserve">17 h</t>
        </is>
      </c>
      <c r="D433" s="133" t="inlineStr">
        <is>
          <t xml:space="preserve">Salón</t>
        </is>
      </c>
      <c r="E433" s="93">
        <v>13100</v>
      </c>
      <c r="F433" s="157" t="inlineStr">
        <is>
          <t xml:space="preserve">PALITOS</t>
        </is>
      </c>
      <c r="G433" s="157" t="inlineStr">
        <is>
          <t xml:space="preserve">1 PALITO BOMBÓN X10 UN. + 1 PALITO CREMOSO FRUTILLA X10 U.</t>
        </is>
      </c>
      <c r="H433" s="293" t="inlineStr">
        <is>
          <t xml:space="preserve">Rechazada</t>
        </is>
      </c>
      <c r="I433" s="157" t="inlineStr">
        <is>
          <t xml:space="preserve"/>
        </is>
      </c>
    </row>
    <row r="434">
      <c r="A434" s="156" t="inlineStr">
        <is>
          <t xml:space="preserve">Lanus Oeste</t>
        </is>
      </c>
      <c r="B434" s="160" t="inlineStr">
        <is>
          <t xml:space="preserve">Wanda</t>
        </is>
      </c>
      <c r="C434" s="133" t="inlineStr">
        <is>
          <t xml:space="preserve">17 h</t>
        </is>
      </c>
      <c r="D434" s="133" t="inlineStr">
        <is>
          <t xml:space="preserve">Salón</t>
        </is>
      </c>
      <c r="E434" s="93">
        <v>12900</v>
      </c>
      <c r="F434" s="157" t="inlineStr">
        <is>
          <t xml:space="preserve">PALITOS</t>
        </is>
      </c>
      <c r="G434" s="157" t="inlineStr">
        <is>
          <t xml:space="preserve">1 PALITO BOMBÓN X10 UN. + 1 FRAMBUESAS DOBLE CHOCOLATE - GRIDO</t>
        </is>
      </c>
      <c r="H434" s="293" t="inlineStr">
        <is>
          <t xml:space="preserve">Rechazada</t>
        </is>
      </c>
      <c r="I434" s="157" t="inlineStr">
        <is>
          <t xml:space="preserve"/>
        </is>
      </c>
    </row>
    <row r="435">
      <c r="A435" s="156" t="inlineStr">
        <is>
          <t xml:space="preserve">Lanus Oeste</t>
        </is>
      </c>
      <c r="B435" s="160" t="inlineStr">
        <is>
          <t xml:space="preserve">Wanda</t>
        </is>
      </c>
      <c r="C435" s="133" t="inlineStr">
        <is>
          <t xml:space="preserve">17 h</t>
        </is>
      </c>
      <c r="D435" s="133" t="inlineStr">
        <is>
          <t xml:space="preserve">Salón</t>
        </is>
      </c>
      <c r="E435" s="93">
        <v>7800</v>
      </c>
      <c r="F435" s="157" t="inlineStr">
        <is>
          <t xml:space="preserve">HELADO X BOCHA</t>
        </is>
      </c>
      <c r="G435" s="157" t="inlineStr">
        <is>
          <t xml:space="preserve">2 GIGANTE 3 BOCHAS</t>
        </is>
      </c>
      <c r="H435" s="293" t="inlineStr">
        <is>
          <t xml:space="preserve">Rechazada</t>
        </is>
      </c>
      <c r="I435" s="157" t="inlineStr">
        <is>
          <t xml:space="preserve"/>
        </is>
      </c>
    </row>
    <row r="436">
      <c r="A436" s="156" t="inlineStr">
        <is>
          <t xml:space="preserve">Lanus Oeste</t>
        </is>
      </c>
      <c r="B436" s="160" t="inlineStr">
        <is>
          <t xml:space="preserve">Wanda</t>
        </is>
      </c>
      <c r="C436" s="133" t="inlineStr">
        <is>
          <t xml:space="preserve">17 h</t>
        </is>
      </c>
      <c r="D436" s="133" t="inlineStr">
        <is>
          <t xml:space="preserve">Salón</t>
        </is>
      </c>
      <c r="E436" s="93">
        <v>16900</v>
      </c>
      <c r="F436" s="157" t="inlineStr">
        <is>
          <t xml:space="preserve">HELADO X  KILO</t>
        </is>
      </c>
      <c r="G436" s="157" t="inlineStr">
        <is>
          <t xml:space="preserve">1 1 KILO</t>
        </is>
      </c>
      <c r="H436" s="293" t="inlineStr">
        <is>
          <t xml:space="preserve">Rechazada</t>
        </is>
      </c>
      <c r="I436" s="157" t="inlineStr">
        <is>
          <t xml:space="preserve"/>
        </is>
      </c>
    </row>
    <row r="437">
      <c r="A437" s="156" t="inlineStr">
        <is>
          <t xml:space="preserve">Lanus Oeste</t>
        </is>
      </c>
      <c r="B437" s="160" t="inlineStr">
        <is>
          <t xml:space="preserve">Wanda</t>
        </is>
      </c>
      <c r="C437" s="133" t="inlineStr">
        <is>
          <t xml:space="preserve">17 h</t>
        </is>
      </c>
      <c r="D437" s="133" t="inlineStr">
        <is>
          <t xml:space="preserve">Salón</t>
        </is>
      </c>
      <c r="E437" s="93">
        <v>5110</v>
      </c>
      <c r="F437" s="157" t="inlineStr">
        <is>
          <t xml:space="preserve">PALITOS</t>
        </is>
      </c>
      <c r="G437" s="157" t="inlineStr">
        <is>
          <t xml:space="preserve">1 PALITO BOMBÓN X10 UN.</t>
        </is>
      </c>
      <c r="H437" s="294" t="inlineStr">
        <is>
          <t xml:space="preserve">No ofrecida</t>
        </is>
      </c>
      <c r="I437" s="157" t="inlineStr">
        <is>
          <t xml:space="preserve"/>
        </is>
      </c>
    </row>
    <row r="438">
      <c r="A438" s="156" t="inlineStr">
        <is>
          <t xml:space="preserve">Lanus Oeste</t>
        </is>
      </c>
      <c r="B438" s="160" t="inlineStr">
        <is>
          <t xml:space="preserve">Wanda</t>
        </is>
      </c>
      <c r="C438" s="133" t="inlineStr">
        <is>
          <t xml:space="preserve">17 h</t>
        </is>
      </c>
      <c r="D438" s="133" t="inlineStr">
        <is>
          <t xml:space="preserve">Salón</t>
        </is>
      </c>
      <c r="E438" s="93">
        <v>10500</v>
      </c>
      <c r="F438" s="157" t="inlineStr">
        <is>
          <t xml:space="preserve">PALITOS</t>
        </is>
      </c>
      <c r="G438" s="157" t="inlineStr">
        <is>
          <t xml:space="preserve">1 P.FRUT.FRUTILLA EN CAJA X 20</t>
        </is>
      </c>
      <c r="H438" s="293" t="inlineStr">
        <is>
          <t xml:space="preserve">Rechazada</t>
        </is>
      </c>
      <c r="I438" s="157" t="inlineStr">
        <is>
          <t xml:space="preserve"/>
        </is>
      </c>
    </row>
    <row r="439">
      <c r="A439" s="156" t="inlineStr">
        <is>
          <t xml:space="preserve">Lanus Oeste</t>
        </is>
      </c>
      <c r="B439" s="160" t="inlineStr">
        <is>
          <t xml:space="preserve">Wanda</t>
        </is>
      </c>
      <c r="C439" s="133" t="inlineStr">
        <is>
          <t xml:space="preserve">18 h</t>
        </is>
      </c>
      <c r="D439" s="133" t="inlineStr">
        <is>
          <t xml:space="preserve">Salón</t>
        </is>
      </c>
      <c r="E439" s="93">
        <v>17600</v>
      </c>
      <c r="F439" s="157" t="inlineStr">
        <is>
          <t xml:space="preserve">FAMILIAR</t>
        </is>
      </c>
      <c r="G439" s="157" t="inlineStr">
        <is>
          <t xml:space="preserve">1 FAMNº1 (CHOCOLATE/D.LECHE/AMERICANA)</t>
        </is>
      </c>
      <c r="H439" s="293" t="inlineStr">
        <is>
          <t xml:space="preserve">Rechazada</t>
        </is>
      </c>
      <c r="I439" s="157" t="inlineStr">
        <is>
          <t xml:space="preserve"/>
        </is>
      </c>
    </row>
    <row r="440">
      <c r="A440" s="156" t="inlineStr">
        <is>
          <t xml:space="preserve">Lanus Oeste</t>
        </is>
      </c>
      <c r="B440" s="160" t="inlineStr">
        <is>
          <t xml:space="preserve">Wanda</t>
        </is>
      </c>
      <c r="C440" s="133" t="inlineStr">
        <is>
          <t xml:space="preserve">18 h</t>
        </is>
      </c>
      <c r="D440" s="133" t="inlineStr">
        <is>
          <t xml:space="preserve">Salón</t>
        </is>
      </c>
      <c r="E440" s="93">
        <v>17600</v>
      </c>
      <c r="F440" s="157" t="inlineStr">
        <is>
          <t xml:space="preserve">FAMILIAR</t>
        </is>
      </c>
      <c r="G440" s="157" t="inlineStr">
        <is>
          <t xml:space="preserve">1 FAMNº1 (CHOCOLATE/D.LECHE/AMERICANA)</t>
        </is>
      </c>
      <c r="H440" s="293" t="inlineStr">
        <is>
          <t xml:space="preserve">Rechazada</t>
        </is>
      </c>
      <c r="I440" s="157" t="inlineStr">
        <is>
          <t xml:space="preserve"/>
        </is>
      </c>
    </row>
    <row r="441">
      <c r="A441" s="156" t="inlineStr">
        <is>
          <t xml:space="preserve">Lanus Oeste</t>
        </is>
      </c>
      <c r="B441" s="160" t="inlineStr">
        <is>
          <t xml:space="preserve">Wanda</t>
        </is>
      </c>
      <c r="C441" s="133" t="inlineStr">
        <is>
          <t xml:space="preserve">18 h</t>
        </is>
      </c>
      <c r="D441" s="133" t="inlineStr">
        <is>
          <t xml:space="preserve">Salón</t>
        </is>
      </c>
      <c r="E441" s="93">
        <v>16900</v>
      </c>
      <c r="F441" s="157" t="inlineStr">
        <is>
          <t xml:space="preserve">HELADO X  KILO</t>
        </is>
      </c>
      <c r="G441" s="157" t="inlineStr">
        <is>
          <t xml:space="preserve">1 1 KILO</t>
        </is>
      </c>
      <c r="H441" s="293" t="inlineStr">
        <is>
          <t xml:space="preserve">Rechazada</t>
        </is>
      </c>
      <c r="I441" s="157" t="inlineStr">
        <is>
          <t xml:space="preserve"/>
        </is>
      </c>
    </row>
    <row r="442">
      <c r="A442" s="156" t="inlineStr">
        <is>
          <t xml:space="preserve">Lanus Oeste</t>
        </is>
      </c>
      <c r="B442" s="160" t="inlineStr">
        <is>
          <t xml:space="preserve">Wanda</t>
        </is>
      </c>
      <c r="C442" s="133" t="inlineStr">
        <is>
          <t xml:space="preserve">18 h</t>
        </is>
      </c>
      <c r="D442" s="133" t="inlineStr">
        <is>
          <t xml:space="preserve">Salón</t>
        </is>
      </c>
      <c r="E442" s="93">
        <v>15700</v>
      </c>
      <c r="F442" s="157" t="inlineStr">
        <is>
          <t xml:space="preserve">GRIDOS</t>
        </is>
      </c>
      <c r="G442" s="157" t="inlineStr">
        <is>
          <t xml:space="preserve">3 GRIDO BATIDO + 1 MINI GIGANTE</t>
        </is>
      </c>
      <c r="H442" s="293" t="inlineStr">
        <is>
          <t xml:space="preserve">Rechazada</t>
        </is>
      </c>
      <c r="I442" s="157" t="inlineStr">
        <is>
          <t xml:space="preserve"/>
        </is>
      </c>
    </row>
    <row r="443">
      <c r="A443" s="156" t="inlineStr">
        <is>
          <t xml:space="preserve">Lanus Oeste</t>
        </is>
      </c>
      <c r="B443" s="160" t="inlineStr">
        <is>
          <t xml:space="preserve">Wanda</t>
        </is>
      </c>
      <c r="C443" s="133" t="inlineStr">
        <is>
          <t xml:space="preserve">18 h</t>
        </is>
      </c>
      <c r="D443" s="133" t="inlineStr">
        <is>
          <t xml:space="preserve">Salón</t>
        </is>
      </c>
      <c r="E443" s="93">
        <v>13600</v>
      </c>
      <c r="F443" s="157" t="inlineStr">
        <is>
          <t xml:space="preserve">GRIDOS</t>
        </is>
      </c>
      <c r="G443" s="157" t="inlineStr">
        <is>
          <t xml:space="preserve">1 CAPUCCINO GRIDO + 1 GIGANTE 2 BOCHAS + 1 SUPER GRIDITO + 1 MINI GIGANTE</t>
        </is>
      </c>
      <c r="H443" s="293" t="inlineStr">
        <is>
          <t xml:space="preserve">Rechazada</t>
        </is>
      </c>
      <c r="I443" s="157" t="inlineStr">
        <is>
          <t xml:space="preserve"/>
        </is>
      </c>
    </row>
    <row r="444">
      <c r="A444" s="156" t="inlineStr">
        <is>
          <t xml:space="preserve">Lanus Oeste</t>
        </is>
      </c>
      <c r="B444" s="160" t="inlineStr">
        <is>
          <t xml:space="preserve">Wanda</t>
        </is>
      </c>
      <c r="C444" s="133" t="inlineStr">
        <is>
          <t xml:space="preserve">18 h</t>
        </is>
      </c>
      <c r="D444" s="133" t="inlineStr">
        <is>
          <t xml:space="preserve">Salón</t>
        </is>
      </c>
      <c r="E444" s="93">
        <v>16620</v>
      </c>
      <c r="F444" s="157" t="inlineStr">
        <is>
          <t xml:space="preserve">HELADO X  KILO</t>
        </is>
      </c>
      <c r="G444" s="157" t="inlineStr">
        <is>
          <t xml:space="preserve">1 1 KILO + 1 HEL. "DUL. EQUI. FRUTI" 80 GR XU.</t>
        </is>
      </c>
      <c r="H444" s="293" t="inlineStr">
        <is>
          <t xml:space="preserve">Rechazada</t>
        </is>
      </c>
      <c r="I444" s="157" t="inlineStr">
        <is>
          <t xml:space="preserve"/>
        </is>
      </c>
    </row>
    <row r="445">
      <c r="A445" s="156" t="inlineStr">
        <is>
          <t xml:space="preserve">Lanus Oeste</t>
        </is>
      </c>
      <c r="B445" s="160" t="inlineStr">
        <is>
          <t xml:space="preserve">Wanda</t>
        </is>
      </c>
      <c r="C445" s="133" t="inlineStr">
        <is>
          <t xml:space="preserve">18 h</t>
        </is>
      </c>
      <c r="D445" s="133" t="inlineStr">
        <is>
          <t xml:space="preserve">Salón</t>
        </is>
      </c>
      <c r="E445" s="93">
        <v>5800</v>
      </c>
      <c r="F445" s="157" t="inlineStr">
        <is>
          <t xml:space="preserve">PALITOS</t>
        </is>
      </c>
      <c r="G445" s="157" t="inlineStr">
        <is>
          <t xml:space="preserve">1 PALITO CREMOSO FRUTILLA X10 U.</t>
        </is>
      </c>
      <c r="H445" s="293" t="inlineStr">
        <is>
          <t xml:space="preserve">Rechazada</t>
        </is>
      </c>
      <c r="I445" s="157" t="inlineStr">
        <is>
          <t xml:space="preserve"/>
        </is>
      </c>
    </row>
    <row r="446">
      <c r="A446" s="156" t="inlineStr">
        <is>
          <t xml:space="preserve">Lanus Oeste</t>
        </is>
      </c>
      <c r="B446" s="160" t="inlineStr">
        <is>
          <t xml:space="preserve">Wanda</t>
        </is>
      </c>
      <c r="C446" s="133" t="inlineStr">
        <is>
          <t xml:space="preserve">18 h</t>
        </is>
      </c>
      <c r="D446" s="133" t="inlineStr">
        <is>
          <t xml:space="preserve">Salón</t>
        </is>
      </c>
      <c r="E446" s="93">
        <v>25400</v>
      </c>
      <c r="F446" s="157" t="inlineStr">
        <is>
          <t xml:space="preserve">POSTRES</t>
        </is>
      </c>
      <c r="G446" s="157" t="inlineStr">
        <is>
          <t xml:space="preserve">1 BOMBON FRUTEZZA X8U. + 1 ALMENDRADO EN CAJA X 8 + 2 YOGURT HEL. MANGO-MARACUYÁ XU.</t>
        </is>
      </c>
      <c r="H446" s="293" t="inlineStr">
        <is>
          <t xml:space="preserve">Rechazada</t>
        </is>
      </c>
      <c r="I446" s="157" t="inlineStr">
        <is>
          <t xml:space="preserve"/>
        </is>
      </c>
    </row>
    <row r="447">
      <c r="A447" s="156" t="inlineStr">
        <is>
          <t xml:space="preserve">Lanus Oeste</t>
        </is>
      </c>
      <c r="B447" s="160" t="inlineStr">
        <is>
          <t xml:space="preserve">Wanda</t>
        </is>
      </c>
      <c r="C447" s="133" t="inlineStr">
        <is>
          <t xml:space="preserve">18 h</t>
        </is>
      </c>
      <c r="D447" s="133" t="inlineStr">
        <is>
          <t xml:space="preserve">Salón</t>
        </is>
      </c>
      <c r="E447" s="93">
        <v>12800</v>
      </c>
      <c r="F447" s="157" t="inlineStr">
        <is>
          <t xml:space="preserve">HELADO X BOCHA</t>
        </is>
      </c>
      <c r="G447" s="157" t="inlineStr">
        <is>
          <t xml:space="preserve">2 GIGANTE 2 BOCHAS + 1 PALITO CREMOSO FRUTILLA X10 U.</t>
        </is>
      </c>
      <c r="H447" s="293" t="inlineStr">
        <is>
          <t xml:space="preserve">Rechazada</t>
        </is>
      </c>
      <c r="I447" s="157" t="inlineStr">
        <is>
          <t xml:space="preserve"/>
        </is>
      </c>
    </row>
    <row r="448">
      <c r="A448" s="156" t="inlineStr">
        <is>
          <t xml:space="preserve">Lanus Oeste</t>
        </is>
      </c>
      <c r="B448" s="160" t="inlineStr">
        <is>
          <t xml:space="preserve">Wanda</t>
        </is>
      </c>
      <c r="C448" s="133" t="inlineStr">
        <is>
          <t xml:space="preserve">18 h</t>
        </is>
      </c>
      <c r="D448" s="133" t="inlineStr">
        <is>
          <t xml:space="preserve">Salón</t>
        </is>
      </c>
      <c r="E448" s="93">
        <v>13520</v>
      </c>
      <c r="F448" s="157" t="inlineStr">
        <is>
          <t xml:space="preserve">HELADO X  KILO</t>
        </is>
      </c>
      <c r="G448" s="157" t="inlineStr">
        <is>
          <t xml:space="preserve">1 1 KILO</t>
        </is>
      </c>
      <c r="H448" s="293" t="inlineStr">
        <is>
          <t xml:space="preserve">Rechazada</t>
        </is>
      </c>
      <c r="I448" s="157" t="inlineStr">
        <is>
          <t xml:space="preserve"/>
        </is>
      </c>
    </row>
    <row r="449">
      <c r="A449" s="156" t="inlineStr">
        <is>
          <t xml:space="preserve">Lanus Oeste</t>
        </is>
      </c>
      <c r="B449" s="160" t="inlineStr">
        <is>
          <t xml:space="preserve">Wanda</t>
        </is>
      </c>
      <c r="C449" s="133" t="inlineStr">
        <is>
          <t xml:space="preserve">18 h</t>
        </is>
      </c>
      <c r="D449" s="133" t="inlineStr">
        <is>
          <t xml:space="preserve">Salón</t>
        </is>
      </c>
      <c r="E449" s="93">
        <v>14600</v>
      </c>
      <c r="F449" s="157" t="inlineStr">
        <is>
          <t xml:space="preserve">PALITOS</t>
        </is>
      </c>
      <c r="G449" s="157" t="inlineStr">
        <is>
          <t xml:space="preserve">2 PALITO BOMBÓN X10 UN.</t>
        </is>
      </c>
      <c r="H449" s="293" t="inlineStr">
        <is>
          <t xml:space="preserve">Rechazada</t>
        </is>
      </c>
      <c r="I449" s="157" t="inlineStr">
        <is>
          <t xml:space="preserve"/>
        </is>
      </c>
    </row>
    <row r="450">
      <c r="A450" s="156" t="inlineStr">
        <is>
          <t xml:space="preserve">Lanus Oeste</t>
        </is>
      </c>
      <c r="B450" s="160" t="inlineStr">
        <is>
          <t xml:space="preserve">Wanda</t>
        </is>
      </c>
      <c r="C450" s="133" t="inlineStr">
        <is>
          <t xml:space="preserve">18 h</t>
        </is>
      </c>
      <c r="D450" s="133" t="inlineStr">
        <is>
          <t xml:space="preserve">Salón</t>
        </is>
      </c>
      <c r="E450" s="93">
        <v>13520</v>
      </c>
      <c r="F450" s="157" t="inlineStr">
        <is>
          <t xml:space="preserve">HELADO X  KILO</t>
        </is>
      </c>
      <c r="G450" s="157" t="inlineStr">
        <is>
          <t xml:space="preserve">1 1 KILO</t>
        </is>
      </c>
      <c r="H450" s="293" t="inlineStr">
        <is>
          <t xml:space="preserve">Rechazada</t>
        </is>
      </c>
      <c r="I450" s="157" t="inlineStr">
        <is>
          <t xml:space="preserve"/>
        </is>
      </c>
    </row>
    <row r="451">
      <c r="A451" s="156" t="inlineStr">
        <is>
          <t xml:space="preserve">Lanus Oeste</t>
        </is>
      </c>
      <c r="B451" s="160" t="inlineStr">
        <is>
          <t xml:space="preserve">Wanda</t>
        </is>
      </c>
      <c r="C451" s="133" t="inlineStr">
        <is>
          <t xml:space="preserve">18 h</t>
        </is>
      </c>
      <c r="D451" s="133" t="inlineStr">
        <is>
          <t xml:space="preserve">Salón</t>
        </is>
      </c>
      <c r="E451" s="93">
        <v>11400</v>
      </c>
      <c r="F451" s="157" t="inlineStr">
        <is>
          <t xml:space="preserve">HELADO X  KILO</t>
        </is>
      </c>
      <c r="G451" s="157" t="inlineStr">
        <is>
          <t xml:space="preserve">1 1/4  KILO</t>
        </is>
      </c>
      <c r="H451" s="227" t="inlineStr">
        <is>
          <t xml:space="preserve">Aceptada</t>
        </is>
      </c>
      <c r="I451" s="160" t="inlineStr">
        <is>
          <t xml:space="preserve">1 1/4  KILO</t>
        </is>
      </c>
    </row>
    <row r="452">
      <c r="A452" s="156" t="inlineStr">
        <is>
          <t xml:space="preserve">Lanus Oeste</t>
        </is>
      </c>
      <c r="B452" s="160" t="inlineStr">
        <is>
          <t xml:space="preserve">Wanda</t>
        </is>
      </c>
      <c r="C452" s="133" t="inlineStr">
        <is>
          <t xml:space="preserve">18 h</t>
        </is>
      </c>
      <c r="D452" s="133" t="inlineStr">
        <is>
          <t xml:space="preserve">Salón</t>
        </is>
      </c>
      <c r="E452" s="93">
        <v>3500</v>
      </c>
      <c r="F452" s="157" t="inlineStr">
        <is>
          <t xml:space="preserve">HELADO X BOCHA</t>
        </is>
      </c>
      <c r="G452" s="157" t="inlineStr">
        <is>
          <t xml:space="preserve">1 GIGANTE 2 BOCHAS</t>
        </is>
      </c>
      <c r="H452" s="293" t="inlineStr">
        <is>
          <t xml:space="preserve">Rechazada</t>
        </is>
      </c>
      <c r="I452" s="157" t="inlineStr">
        <is>
          <t xml:space="preserve"/>
        </is>
      </c>
    </row>
    <row r="453">
      <c r="A453" s="156" t="inlineStr">
        <is>
          <t xml:space="preserve">Lanus Oeste</t>
        </is>
      </c>
      <c r="B453" s="160" t="inlineStr">
        <is>
          <t xml:space="preserve">Wanda</t>
        </is>
      </c>
      <c r="C453" s="133" t="inlineStr">
        <is>
          <t xml:space="preserve">19 h</t>
        </is>
      </c>
      <c r="D453" s="133" t="inlineStr">
        <is>
          <t xml:space="preserve">Salón</t>
        </is>
      </c>
      <c r="E453" s="93">
        <v>6400</v>
      </c>
      <c r="F453" s="157" t="inlineStr">
        <is>
          <t xml:space="preserve">HELADO X  KILO</t>
        </is>
      </c>
      <c r="G453" s="157" t="inlineStr">
        <is>
          <t xml:space="preserve">1 1/4  KILO</t>
        </is>
      </c>
      <c r="H453" s="293" t="inlineStr">
        <is>
          <t xml:space="preserve">Rechazada</t>
        </is>
      </c>
      <c r="I453" s="157" t="inlineStr">
        <is>
          <t xml:space="preserve"/>
        </is>
      </c>
    </row>
    <row r="454">
      <c r="A454" s="156" t="inlineStr">
        <is>
          <t xml:space="preserve">Lanus Oeste</t>
        </is>
      </c>
      <c r="B454" s="160" t="inlineStr">
        <is>
          <t xml:space="preserve">Wanda</t>
        </is>
      </c>
      <c r="C454" s="133" t="inlineStr">
        <is>
          <t xml:space="preserve">19 h</t>
        </is>
      </c>
      <c r="D454" s="133" t="inlineStr">
        <is>
          <t xml:space="preserve">Salón</t>
        </is>
      </c>
      <c r="E454" s="93">
        <v>21100</v>
      </c>
      <c r="F454" s="157" t="inlineStr">
        <is>
          <t xml:space="preserve">POSTRES</t>
        </is>
      </c>
      <c r="G454" s="157" t="inlineStr">
        <is>
          <t xml:space="preserve">1 BOMBON SUIZO EN CAJA X 8 + 1 PALITO BOMBÓN DDL X 10</t>
        </is>
      </c>
      <c r="H454" s="293" t="inlineStr">
        <is>
          <t xml:space="preserve">Rechazada</t>
        </is>
      </c>
      <c r="I454" s="157" t="inlineStr">
        <is>
          <t xml:space="preserve"/>
        </is>
      </c>
    </row>
    <row r="455">
      <c r="A455" s="156" t="inlineStr">
        <is>
          <t xml:space="preserve">Lanus Oeste</t>
        </is>
      </c>
      <c r="B455" s="160" t="inlineStr">
        <is>
          <t xml:space="preserve">Wanda</t>
        </is>
      </c>
      <c r="C455" s="133" t="inlineStr">
        <is>
          <t xml:space="preserve">19 h</t>
        </is>
      </c>
      <c r="D455" s="133" t="inlineStr">
        <is>
          <t xml:space="preserve">Salón</t>
        </is>
      </c>
      <c r="E455" s="93">
        <v>17400</v>
      </c>
      <c r="F455" s="157" t="inlineStr">
        <is>
          <t xml:space="preserve">PALITOS</t>
        </is>
      </c>
      <c r="G455" s="157" t="inlineStr">
        <is>
          <t xml:space="preserve">3 PALITO CREMOSO FRUTILLA X10 U.</t>
        </is>
      </c>
      <c r="H455" s="293" t="inlineStr">
        <is>
          <t xml:space="preserve">Rechazada</t>
        </is>
      </c>
      <c r="I455" s="157" t="inlineStr">
        <is>
          <t xml:space="preserve"/>
        </is>
      </c>
    </row>
    <row r="456">
      <c r="A456" s="156" t="inlineStr">
        <is>
          <t xml:space="preserve">Lanus Oeste</t>
        </is>
      </c>
      <c r="B456" s="160" t="inlineStr">
        <is>
          <t xml:space="preserve">Wanda</t>
        </is>
      </c>
      <c r="C456" s="133" t="inlineStr">
        <is>
          <t xml:space="preserve">19 h</t>
        </is>
      </c>
      <c r="D456" s="133" t="inlineStr">
        <is>
          <t xml:space="preserve">Salón</t>
        </is>
      </c>
      <c r="E456" s="93">
        <v>13300</v>
      </c>
      <c r="F456" s="157" t="inlineStr">
        <is>
          <t xml:space="preserve">POSTRES</t>
        </is>
      </c>
      <c r="G456" s="157" t="inlineStr">
        <is>
          <t xml:space="preserve">1 BOMBON CROCANTE EN CAJA X 8</t>
        </is>
      </c>
      <c r="H456" s="293" t="inlineStr">
        <is>
          <t xml:space="preserve">Rechazada</t>
        </is>
      </c>
      <c r="I456" s="157" t="inlineStr">
        <is>
          <t xml:space="preserve"/>
        </is>
      </c>
    </row>
    <row r="457">
      <c r="A457" s="156" t="inlineStr">
        <is>
          <t xml:space="preserve">Lanus Oeste</t>
        </is>
      </c>
      <c r="B457" s="160" t="inlineStr">
        <is>
          <t xml:space="preserve">Wanda</t>
        </is>
      </c>
      <c r="C457" s="133" t="inlineStr">
        <is>
          <t xml:space="preserve">19 h</t>
        </is>
      </c>
      <c r="D457" s="133" t="inlineStr">
        <is>
          <t xml:space="preserve">Salón</t>
        </is>
      </c>
      <c r="E457" s="93">
        <v>14300</v>
      </c>
      <c r="F457" s="157" t="inlineStr">
        <is>
          <t xml:space="preserve">POSTRES</t>
        </is>
      </c>
      <c r="G457" s="157" t="inlineStr">
        <is>
          <t xml:space="preserve">1 BOMBON ESCOCES EN CAJA X 8</t>
        </is>
      </c>
      <c r="H457" s="293" t="inlineStr">
        <is>
          <t xml:space="preserve">Rechazada</t>
        </is>
      </c>
      <c r="I457" s="157" t="inlineStr">
        <is>
          <t xml:space="preserve"/>
        </is>
      </c>
    </row>
    <row r="458">
      <c r="A458" s="156" t="inlineStr">
        <is>
          <t xml:space="preserve">Lanus Oeste</t>
        </is>
      </c>
      <c r="B458" s="160" t="inlineStr">
        <is>
          <t xml:space="preserve">Wanda</t>
        </is>
      </c>
      <c r="C458" s="133" t="inlineStr">
        <is>
          <t xml:space="preserve">20 h</t>
        </is>
      </c>
      <c r="D458" s="133" t="inlineStr">
        <is>
          <t xml:space="preserve">Salón</t>
        </is>
      </c>
      <c r="E458" s="93">
        <v>17500</v>
      </c>
      <c r="F458" s="157" t="inlineStr">
        <is>
          <t xml:space="preserve">TORTAS</t>
        </is>
      </c>
      <c r="G458" s="157" t="inlineStr">
        <is>
          <t xml:space="preserve">1 TORTA FRUTILLAS CON CREMA</t>
        </is>
      </c>
      <c r="H458" s="293" t="inlineStr">
        <is>
          <t xml:space="preserve">Rechazada</t>
        </is>
      </c>
      <c r="I458" s="157" t="inlineStr">
        <is>
          <t xml:space="preserve"/>
        </is>
      </c>
    </row>
    <row r="459">
      <c r="A459" s="156" t="inlineStr">
        <is>
          <t xml:space="preserve">Lanus Oeste</t>
        </is>
      </c>
      <c r="B459" s="160" t="inlineStr">
        <is>
          <t xml:space="preserve">Wanda</t>
        </is>
      </c>
      <c r="C459" s="133" t="inlineStr">
        <is>
          <t xml:space="preserve">20 h</t>
        </is>
      </c>
      <c r="D459" s="133" t="inlineStr">
        <is>
          <t xml:space="preserve">Salón</t>
        </is>
      </c>
      <c r="E459" s="93">
        <v>5600</v>
      </c>
      <c r="F459" s="157" t="inlineStr">
        <is>
          <t xml:space="preserve">CONGELADOS</t>
        </is>
      </c>
      <c r="G459" s="157" t="inlineStr">
        <is>
          <t xml:space="preserve">1 FRAMBUESAS DOBLE CHOCOLATE - GRIDO</t>
        </is>
      </c>
      <c r="H459" s="293" t="inlineStr">
        <is>
          <t xml:space="preserve">Rechazada</t>
        </is>
      </c>
      <c r="I459" s="157" t="inlineStr">
        <is>
          <t xml:space="preserve"/>
        </is>
      </c>
    </row>
    <row r="460">
      <c r="A460" s="156" t="inlineStr">
        <is>
          <t xml:space="preserve">Lanus Oeste</t>
        </is>
      </c>
      <c r="B460" s="160" t="inlineStr">
        <is>
          <t xml:space="preserve">Wanda</t>
        </is>
      </c>
      <c r="C460" s="133" t="inlineStr">
        <is>
          <t xml:space="preserve">20 h</t>
        </is>
      </c>
      <c r="D460" s="133" t="inlineStr">
        <is>
          <t xml:space="preserve">Salón</t>
        </is>
      </c>
      <c r="E460" s="93">
        <v>18700</v>
      </c>
      <c r="F460" s="157" t="inlineStr">
        <is>
          <t xml:space="preserve">TORTAS</t>
        </is>
      </c>
      <c r="G460" s="157" t="inlineStr">
        <is>
          <t xml:space="preserve">1 TORTA COOKIES AND CREAM + 1 VELAS CON FORMAS X UN</t>
        </is>
      </c>
      <c r="H460" s="293" t="inlineStr">
        <is>
          <t xml:space="preserve">Rechazada</t>
        </is>
      </c>
      <c r="I460" s="157" t="inlineStr">
        <is>
          <t xml:space="preserve"/>
        </is>
      </c>
    </row>
    <row r="461">
      <c r="A461" s="156" t="inlineStr">
        <is>
          <t xml:space="preserve">Lanus Oeste</t>
        </is>
      </c>
      <c r="B461" s="160" t="inlineStr">
        <is>
          <t xml:space="preserve">Wanda</t>
        </is>
      </c>
      <c r="C461" s="133" t="inlineStr">
        <is>
          <t xml:space="preserve">20 h</t>
        </is>
      </c>
      <c r="D461" s="133" t="inlineStr">
        <is>
          <t xml:space="preserve">Salón</t>
        </is>
      </c>
      <c r="E461" s="93">
        <v>19300</v>
      </c>
      <c r="F461" s="157" t="inlineStr">
        <is>
          <t xml:space="preserve">HELADO X  KILO</t>
        </is>
      </c>
      <c r="G461" s="157" t="inlineStr">
        <is>
          <t xml:space="preserve">1 1 KILO + 2 CUPS BLACK X 3</t>
        </is>
      </c>
      <c r="H461" s="293" t="inlineStr">
        <is>
          <t xml:space="preserve">Rechazada</t>
        </is>
      </c>
      <c r="I461" s="157" t="inlineStr">
        <is>
          <t xml:space="preserve"/>
        </is>
      </c>
    </row>
    <row r="462">
      <c r="A462" s="156" t="inlineStr">
        <is>
          <t xml:space="preserve">Lanus Oeste</t>
        </is>
      </c>
      <c r="B462" s="160" t="inlineStr">
        <is>
          <t xml:space="preserve">Wanda</t>
        </is>
      </c>
      <c r="C462" s="133" t="inlineStr">
        <is>
          <t xml:space="preserve">20 h</t>
        </is>
      </c>
      <c r="D462" s="133" t="inlineStr">
        <is>
          <t xml:space="preserve">Salón</t>
        </is>
      </c>
      <c r="E462" s="93">
        <v>10000</v>
      </c>
      <c r="F462" s="157" t="inlineStr">
        <is>
          <t xml:space="preserve">HELADO X  KILO</t>
        </is>
      </c>
      <c r="G462" s="157" t="inlineStr">
        <is>
          <t xml:space="preserve">1 1/2  KILO</t>
        </is>
      </c>
      <c r="H462" s="293" t="inlineStr">
        <is>
          <t xml:space="preserve">Rechazada</t>
        </is>
      </c>
      <c r="I462" s="157" t="inlineStr">
        <is>
          <t xml:space="preserve"/>
        </is>
      </c>
    </row>
    <row r="463">
      <c r="A463" s="156" t="inlineStr">
        <is>
          <t xml:space="preserve">Lanus Oeste</t>
        </is>
      </c>
      <c r="B463" s="160" t="inlineStr">
        <is>
          <t xml:space="preserve">Wanda</t>
        </is>
      </c>
      <c r="C463" s="133" t="inlineStr">
        <is>
          <t xml:space="preserve">20 h</t>
        </is>
      </c>
      <c r="D463" s="133" t="inlineStr">
        <is>
          <t xml:space="preserve">Salón</t>
        </is>
      </c>
      <c r="E463" s="93">
        <v>29400</v>
      </c>
      <c r="F463" s="157" t="inlineStr">
        <is>
          <t xml:space="preserve">POSTRES</t>
        </is>
      </c>
      <c r="G463" s="157" t="inlineStr">
        <is>
          <t xml:space="preserve">1 BOMBON CROCANTE EN CAJA X 8 + 1 P.FRUT.FRUTILLA EN CAJA X 20 + 1 FRUTILLAS DOBLE CHOCOLATE - GRIDO</t>
        </is>
      </c>
      <c r="H463" s="293" t="inlineStr">
        <is>
          <t xml:space="preserve">Rechazada</t>
        </is>
      </c>
      <c r="I463" s="157" t="inlineStr">
        <is>
          <t xml:space="preserve"/>
        </is>
      </c>
    </row>
    <row r="464">
      <c r="A464" s="156" t="inlineStr">
        <is>
          <t xml:space="preserve">Lanus Oeste</t>
        </is>
      </c>
      <c r="B464" s="160" t="inlineStr">
        <is>
          <t xml:space="preserve">Wanda</t>
        </is>
      </c>
      <c r="C464" s="133" t="inlineStr">
        <is>
          <t xml:space="preserve">20 h</t>
        </is>
      </c>
      <c r="D464" s="133" t="inlineStr">
        <is>
          <t xml:space="preserve">Salón</t>
        </is>
      </c>
      <c r="E464" s="93">
        <v>4800</v>
      </c>
      <c r="F464" s="157" t="inlineStr">
        <is>
          <t xml:space="preserve">POSTRES</t>
        </is>
      </c>
      <c r="G464" s="157" t="inlineStr">
        <is>
          <t xml:space="preserve">2 BOMBON ESCOCES X UNIDAD</t>
        </is>
      </c>
      <c r="H464" s="293" t="inlineStr">
        <is>
          <t xml:space="preserve">Rechazada</t>
        </is>
      </c>
      <c r="I464" s="157" t="inlineStr">
        <is>
          <t xml:space="preserve"/>
        </is>
      </c>
    </row>
    <row r="465">
      <c r="A465" s="156" t="inlineStr">
        <is>
          <t xml:space="preserve">Lanus Oeste</t>
        </is>
      </c>
      <c r="B465" s="160" t="inlineStr">
        <is>
          <t xml:space="preserve">Wanda</t>
        </is>
      </c>
      <c r="C465" s="133" t="inlineStr">
        <is>
          <t xml:space="preserve">20 h</t>
        </is>
      </c>
      <c r="D465" s="133" t="inlineStr">
        <is>
          <t xml:space="preserve">Salón</t>
        </is>
      </c>
      <c r="E465" s="93">
        <v>22300</v>
      </c>
      <c r="F465" s="157" t="inlineStr">
        <is>
          <t xml:space="preserve">HELADO X  KILO</t>
        </is>
      </c>
      <c r="G465" s="157" t="inlineStr">
        <is>
          <t xml:space="preserve">1 1 KILO + 1 GRIDOTOY 1 B. CUCU. PUQUI MUCHI + 1 CUPS CONITO X 5 UN.</t>
        </is>
      </c>
      <c r="H465" s="293" t="inlineStr">
        <is>
          <t xml:space="preserve">Rechazada</t>
        </is>
      </c>
      <c r="I465" s="157" t="inlineStr">
        <is>
          <t xml:space="preserve"/>
        </is>
      </c>
    </row>
    <row r="466">
      <c r="A466" s="156" t="inlineStr">
        <is>
          <t xml:space="preserve">Lanus Oeste</t>
        </is>
      </c>
      <c r="B466" s="160" t="inlineStr">
        <is>
          <t xml:space="preserve">Wanda</t>
        </is>
      </c>
      <c r="C466" s="133" t="inlineStr">
        <is>
          <t xml:space="preserve">21 h</t>
        </is>
      </c>
      <c r="D466" s="133" t="inlineStr">
        <is>
          <t xml:space="preserve">Salón</t>
        </is>
      </c>
      <c r="E466" s="93">
        <v>7000</v>
      </c>
      <c r="F466" s="157" t="inlineStr">
        <is>
          <t xml:space="preserve">HELADO X BOCHA</t>
        </is>
      </c>
      <c r="G466" s="157" t="inlineStr">
        <is>
          <t xml:space="preserve">2 GIGANTE 2 BOCHAS</t>
        </is>
      </c>
      <c r="H466" s="293" t="inlineStr">
        <is>
          <t xml:space="preserve">Rechazada</t>
        </is>
      </c>
      <c r="I466" s="157" t="inlineStr">
        <is>
          <t xml:space="preserve"/>
        </is>
      </c>
    </row>
    <row r="467">
      <c r="A467" s="156" t="inlineStr">
        <is>
          <t xml:space="preserve">Lanus Oeste</t>
        </is>
      </c>
      <c r="B467" s="160" t="inlineStr">
        <is>
          <t xml:space="preserve">Wanda</t>
        </is>
      </c>
      <c r="C467" s="133" t="inlineStr">
        <is>
          <t xml:space="preserve">21 h</t>
        </is>
      </c>
      <c r="D467" s="133" t="inlineStr">
        <is>
          <t xml:space="preserve">Salón</t>
        </is>
      </c>
      <c r="E467" s="93">
        <v>16900</v>
      </c>
      <c r="F467" s="157" t="inlineStr">
        <is>
          <t xml:space="preserve">HELADO X  KILO</t>
        </is>
      </c>
      <c r="G467" s="157" t="inlineStr">
        <is>
          <t xml:space="preserve">1 1 KILO</t>
        </is>
      </c>
      <c r="H467" s="293" t="inlineStr">
        <is>
          <t xml:space="preserve">Rechazada</t>
        </is>
      </c>
      <c r="I467" s="157" t="inlineStr">
        <is>
          <t xml:space="preserve"/>
        </is>
      </c>
    </row>
    <row r="468">
      <c r="A468" s="156" t="inlineStr">
        <is>
          <t xml:space="preserve">Lanus Oeste</t>
        </is>
      </c>
      <c r="B468" s="160" t="inlineStr">
        <is>
          <t xml:space="preserve">Wanda</t>
        </is>
      </c>
      <c r="C468" s="133" t="inlineStr">
        <is>
          <t xml:space="preserve">21 h</t>
        </is>
      </c>
      <c r="D468" s="133" t="inlineStr">
        <is>
          <t xml:space="preserve">Salón</t>
        </is>
      </c>
      <c r="E468" s="93">
        <v>10600</v>
      </c>
      <c r="F468" s="157" t="inlineStr">
        <is>
          <t xml:space="preserve">PALITOS</t>
        </is>
      </c>
      <c r="G468" s="157" t="inlineStr">
        <is>
          <t xml:space="preserve">2 PALITO FRUTAL NARANJA X10 U.</t>
        </is>
      </c>
      <c r="H468" s="293" t="inlineStr">
        <is>
          <t xml:space="preserve">Rechazada</t>
        </is>
      </c>
      <c r="I468" s="157" t="inlineStr">
        <is>
          <t xml:space="preserve"/>
        </is>
      </c>
    </row>
    <row r="469">
      <c r="A469" s="156" t="inlineStr">
        <is>
          <t xml:space="preserve">Lanus Oeste</t>
        </is>
      </c>
      <c r="B469" s="160" t="inlineStr">
        <is>
          <t xml:space="preserve">Wanda</t>
        </is>
      </c>
      <c r="C469" s="133" t="inlineStr">
        <is>
          <t xml:space="preserve">21 h</t>
        </is>
      </c>
      <c r="D469" s="133" t="inlineStr">
        <is>
          <t xml:space="preserve">Salón</t>
        </is>
      </c>
      <c r="E469" s="93">
        <v>4800</v>
      </c>
      <c r="F469" s="157" t="inlineStr">
        <is>
          <t xml:space="preserve">POSTRES</t>
        </is>
      </c>
      <c r="G469" s="157" t="inlineStr">
        <is>
          <t xml:space="preserve">2 BOMBON ESCOCES X UNIDAD</t>
        </is>
      </c>
      <c r="H469" s="293" t="inlineStr">
        <is>
          <t xml:space="preserve">Rechazada</t>
        </is>
      </c>
      <c r="I469" s="157" t="inlineStr">
        <is>
          <t xml:space="preserve"/>
        </is>
      </c>
    </row>
    <row r="470">
      <c r="A470" s="156" t="inlineStr">
        <is>
          <t xml:space="preserve">Lanus Oeste</t>
        </is>
      </c>
      <c r="B470" s="160" t="inlineStr">
        <is>
          <t xml:space="preserve">Wanda</t>
        </is>
      </c>
      <c r="C470" s="133" t="inlineStr">
        <is>
          <t xml:space="preserve">21 h</t>
        </is>
      </c>
      <c r="D470" s="133" t="inlineStr">
        <is>
          <t xml:space="preserve">Salón</t>
        </is>
      </c>
      <c r="E470" s="93">
        <v>7150</v>
      </c>
      <c r="F470" s="157" t="inlineStr">
        <is>
          <t xml:space="preserve">POSTRES</t>
        </is>
      </c>
      <c r="G470" s="157" t="inlineStr">
        <is>
          <t xml:space="preserve">1 BOMBON ESCOCES EN CAJA X 8</t>
        </is>
      </c>
      <c r="H470" s="294" t="inlineStr">
        <is>
          <t xml:space="preserve">No ofrecida</t>
        </is>
      </c>
      <c r="I470" s="157" t="inlineStr">
        <is>
          <t xml:space="preserve"/>
        </is>
      </c>
    </row>
    <row r="471">
      <c r="A471" s="156" t="inlineStr">
        <is>
          <t xml:space="preserve">Lanus Oeste</t>
        </is>
      </c>
      <c r="B471" s="160" t="inlineStr">
        <is>
          <t xml:space="preserve">Wanda</t>
        </is>
      </c>
      <c r="C471" s="133" t="inlineStr">
        <is>
          <t xml:space="preserve">21 h</t>
        </is>
      </c>
      <c r="D471" s="133" t="inlineStr">
        <is>
          <t xml:space="preserve">Salón</t>
        </is>
      </c>
      <c r="E471" s="93">
        <v>46300</v>
      </c>
      <c r="F471" s="157" t="inlineStr">
        <is>
          <t xml:space="preserve">HELADO X  KILO</t>
        </is>
      </c>
      <c r="G471" s="157" t="inlineStr">
        <is>
          <t xml:space="preserve">1 1 KILO + 1 BOMBON FRUTEZZA X8U. + 1 TODDY GALLETITAS + 1 PALITO BOMBÓN X10 UN.</t>
        </is>
      </c>
      <c r="H471" s="293" t="inlineStr">
        <is>
          <t xml:space="preserve">Rechazada</t>
        </is>
      </c>
      <c r="I471" s="157" t="inlineStr">
        <is>
          <t xml:space="preserve"/>
        </is>
      </c>
    </row>
    <row r="472">
      <c r="A472" s="156" t="inlineStr">
        <is>
          <t xml:space="preserve">Lanus Oeste</t>
        </is>
      </c>
      <c r="B472" s="160" t="inlineStr">
        <is>
          <t xml:space="preserve">Wanda</t>
        </is>
      </c>
      <c r="C472" s="133" t="inlineStr">
        <is>
          <t xml:space="preserve">21 h</t>
        </is>
      </c>
      <c r="D472" s="133" t="inlineStr">
        <is>
          <t xml:space="preserve">Salón</t>
        </is>
      </c>
      <c r="E472" s="93">
        <v>10000</v>
      </c>
      <c r="F472" s="157" t="inlineStr">
        <is>
          <t xml:space="preserve">HELADO X  KILO</t>
        </is>
      </c>
      <c r="G472" s="157" t="inlineStr">
        <is>
          <t xml:space="preserve">1 1/2  KILO</t>
        </is>
      </c>
      <c r="H472" s="293" t="inlineStr">
        <is>
          <t xml:space="preserve">Rechazada</t>
        </is>
      </c>
      <c r="I472" s="157" t="inlineStr">
        <is>
          <t xml:space="preserve"/>
        </is>
      </c>
    </row>
    <row r="473">
      <c r="A473" s="156" t="inlineStr">
        <is>
          <t xml:space="preserve">Lanus Oeste</t>
        </is>
      </c>
      <c r="B473" s="160" t="inlineStr">
        <is>
          <t xml:space="preserve">Wanda</t>
        </is>
      </c>
      <c r="C473" s="133" t="inlineStr">
        <is>
          <t xml:space="preserve">21 h</t>
        </is>
      </c>
      <c r="D473" s="133" t="inlineStr">
        <is>
          <t xml:space="preserve">Salón</t>
        </is>
      </c>
      <c r="E473" s="93">
        <v>2800</v>
      </c>
      <c r="F473" s="157" t="inlineStr">
        <is>
          <t xml:space="preserve">HELADO X BOCHA</t>
        </is>
      </c>
      <c r="G473" s="157" t="inlineStr">
        <is>
          <t xml:space="preserve">1 MINI GIGANTE</t>
        </is>
      </c>
      <c r="H473" s="293" t="inlineStr">
        <is>
          <t xml:space="preserve">Rechazada</t>
        </is>
      </c>
      <c r="I473" s="157" t="inlineStr">
        <is>
          <t xml:space="preserve"/>
        </is>
      </c>
    </row>
    <row r="474">
      <c r="A474" s="156" t="inlineStr">
        <is>
          <t xml:space="preserve">Lanus Oeste</t>
        </is>
      </c>
      <c r="B474" s="160" t="inlineStr">
        <is>
          <t xml:space="preserve">Wanda</t>
        </is>
      </c>
      <c r="C474" s="133" t="inlineStr">
        <is>
          <t xml:space="preserve">21 h</t>
        </is>
      </c>
      <c r="D474" s="133" t="inlineStr">
        <is>
          <t xml:space="preserve">Salón</t>
        </is>
      </c>
      <c r="E474" s="93">
        <v>7300</v>
      </c>
      <c r="F474" s="157" t="inlineStr">
        <is>
          <t xml:space="preserve">PALITOS</t>
        </is>
      </c>
      <c r="G474" s="157" t="inlineStr">
        <is>
          <t xml:space="preserve">1 PALITO BOMBÓN X10 UN.</t>
        </is>
      </c>
      <c r="H474" s="293" t="inlineStr">
        <is>
          <t xml:space="preserve">Rechazada</t>
        </is>
      </c>
      <c r="I474" s="157" t="inlineStr">
        <is>
          <t xml:space="preserve"/>
        </is>
      </c>
    </row>
    <row r="475">
      <c r="A475" s="156" t="inlineStr">
        <is>
          <t xml:space="preserve">Lanus Oeste</t>
        </is>
      </c>
      <c r="B475" s="160" t="inlineStr">
        <is>
          <t xml:space="preserve">Wanda</t>
        </is>
      </c>
      <c r="C475" s="133" t="inlineStr">
        <is>
          <t xml:space="preserve">21 h</t>
        </is>
      </c>
      <c r="D475" s="133" t="inlineStr">
        <is>
          <t xml:space="preserve">Salón</t>
        </is>
      </c>
      <c r="E475" s="93">
        <v>5000</v>
      </c>
      <c r="F475" s="157" t="inlineStr">
        <is>
          <t xml:space="preserve">HELADO X  KILO</t>
        </is>
      </c>
      <c r="G475" s="157" t="inlineStr">
        <is>
          <t xml:space="preserve">1 1/2  KILO</t>
        </is>
      </c>
      <c r="H475" s="294" t="inlineStr">
        <is>
          <t xml:space="preserve">No ofrecida</t>
        </is>
      </c>
      <c r="I475" s="157" t="inlineStr">
        <is>
          <t xml:space="preserve"/>
        </is>
      </c>
    </row>
    <row r="476">
      <c r="A476" s="156" t="inlineStr">
        <is>
          <t xml:space="preserve">Lanus Oeste</t>
        </is>
      </c>
      <c r="B476" s="160" t="inlineStr">
        <is>
          <t xml:space="preserve">Wanda</t>
        </is>
      </c>
      <c r="C476" s="133" t="inlineStr">
        <is>
          <t xml:space="preserve">21 h</t>
        </is>
      </c>
      <c r="D476" s="133" t="inlineStr">
        <is>
          <t xml:space="preserve">Salón</t>
        </is>
      </c>
      <c r="E476" s="93">
        <v>7000</v>
      </c>
      <c r="F476" s="157" t="inlineStr">
        <is>
          <t xml:space="preserve">HELADO X BOCHA</t>
        </is>
      </c>
      <c r="G476" s="157" t="inlineStr">
        <is>
          <t xml:space="preserve">2 GIGANTE 2 BOCHAS</t>
        </is>
      </c>
      <c r="H476" s="293" t="inlineStr">
        <is>
          <t xml:space="preserve">Rechazada</t>
        </is>
      </c>
      <c r="I476" s="157" t="inlineStr">
        <is>
          <t xml:space="preserve"/>
        </is>
      </c>
    </row>
    <row r="477">
      <c r="A477" s="156" t="inlineStr">
        <is>
          <t xml:space="preserve">Lanus Oeste</t>
        </is>
      </c>
      <c r="B477" s="160" t="inlineStr">
        <is>
          <t xml:space="preserve">Wanda</t>
        </is>
      </c>
      <c r="C477" s="133" t="inlineStr">
        <is>
          <t xml:space="preserve">21 h</t>
        </is>
      </c>
      <c r="D477" s="133" t="inlineStr">
        <is>
          <t xml:space="preserve">Salón</t>
        </is>
      </c>
      <c r="E477" s="93">
        <v>8000</v>
      </c>
      <c r="F477" s="157" t="inlineStr">
        <is>
          <t xml:space="preserve">CONGELADOS</t>
        </is>
      </c>
      <c r="G477" s="157" t="inlineStr">
        <is>
          <t xml:space="preserve">1 FRAMBUESAS DOBLE CHOCOLATE - GRIDO + 3 PALITO FRUTAL FRUTILLA X UNIDAD</t>
        </is>
      </c>
      <c r="H477" s="293" t="inlineStr">
        <is>
          <t xml:space="preserve">Rechazada</t>
        </is>
      </c>
      <c r="I477" s="157" t="inlineStr">
        <is>
          <t xml:space="preserve"/>
        </is>
      </c>
    </row>
    <row r="478">
      <c r="A478" s="156" t="inlineStr">
        <is>
          <t xml:space="preserve">Lanus Oeste</t>
        </is>
      </c>
      <c r="B478" s="160" t="inlineStr">
        <is>
          <t xml:space="preserve">Wanda</t>
        </is>
      </c>
      <c r="C478" s="133" t="inlineStr">
        <is>
          <t xml:space="preserve">21 h</t>
        </is>
      </c>
      <c r="D478" s="133" t="inlineStr">
        <is>
          <t xml:space="preserve">Salón</t>
        </is>
      </c>
      <c r="E478" s="93">
        <v>13100</v>
      </c>
      <c r="F478" s="157" t="inlineStr">
        <is>
          <t xml:space="preserve">PALITOS</t>
        </is>
      </c>
      <c r="G478" s="157" t="inlineStr">
        <is>
          <t xml:space="preserve">1 PALITO BOMBÓN X10 UN. + 1 PALITO CREMOSO FRUTILLA X10 U.</t>
        </is>
      </c>
      <c r="H478" s="293" t="inlineStr">
        <is>
          <t xml:space="preserve">Rechazada</t>
        </is>
      </c>
      <c r="I478" s="157" t="inlineStr">
        <is>
          <t xml:space="preserve"/>
        </is>
      </c>
    </row>
    <row r="479">
      <c r="A479" s="156" t="inlineStr">
        <is>
          <t xml:space="preserve">Lanus Oeste</t>
        </is>
      </c>
      <c r="B479" s="160" t="inlineStr">
        <is>
          <t xml:space="preserve">Wanda</t>
        </is>
      </c>
      <c r="C479" s="133" t="inlineStr">
        <is>
          <t xml:space="preserve">22 h</t>
        </is>
      </c>
      <c r="D479" s="133" t="inlineStr">
        <is>
          <t xml:space="preserve">Salón</t>
        </is>
      </c>
      <c r="E479" s="93">
        <v>5900</v>
      </c>
      <c r="F479" s="157" t="inlineStr">
        <is>
          <t xml:space="preserve">POSTRES</t>
        </is>
      </c>
      <c r="G479" s="157" t="inlineStr">
        <is>
          <t xml:space="preserve">2 BOMBON ESCOCES X UNIDAD + 1 PALITO BOMBON X UNIDAD</t>
        </is>
      </c>
      <c r="H479" s="293" t="inlineStr">
        <is>
          <t xml:space="preserve">Rechazada</t>
        </is>
      </c>
      <c r="I479" s="157" t="inlineStr">
        <is>
          <t xml:space="preserve"/>
        </is>
      </c>
    </row>
    <row r="480">
      <c r="A480" s="156" t="inlineStr">
        <is>
          <t xml:space="preserve">Lanus Oeste</t>
        </is>
      </c>
      <c r="B480" s="160" t="inlineStr">
        <is>
          <t xml:space="preserve">Wanda</t>
        </is>
      </c>
      <c r="C480" s="133" t="inlineStr">
        <is>
          <t xml:space="preserve">22 h</t>
        </is>
      </c>
      <c r="D480" s="133" t="inlineStr">
        <is>
          <t xml:space="preserve">Salón</t>
        </is>
      </c>
      <c r="E480" s="93">
        <v>16900</v>
      </c>
      <c r="F480" s="157" t="inlineStr">
        <is>
          <t xml:space="preserve">HELADO X  KILO</t>
        </is>
      </c>
      <c r="G480" s="157" t="inlineStr">
        <is>
          <t xml:space="preserve">1 1 KILO</t>
        </is>
      </c>
      <c r="H480" s="293" t="inlineStr">
        <is>
          <t xml:space="preserve">Rechazada</t>
        </is>
      </c>
      <c r="I480" s="157" t="inlineStr">
        <is>
          <t xml:space="preserve"/>
        </is>
      </c>
    </row>
    <row r="481">
      <c r="A481" s="156" t="inlineStr">
        <is>
          <t xml:space="preserve">Lanus Oeste</t>
        </is>
      </c>
      <c r="B481" s="160" t="inlineStr">
        <is>
          <t xml:space="preserve">Wanda</t>
        </is>
      </c>
      <c r="C481" s="133" t="inlineStr">
        <is>
          <t xml:space="preserve">22 h</t>
        </is>
      </c>
      <c r="D481" s="133" t="inlineStr">
        <is>
          <t xml:space="preserve">Salón</t>
        </is>
      </c>
      <c r="E481" s="93">
        <v>20400</v>
      </c>
      <c r="F481" s="157" t="inlineStr">
        <is>
          <t xml:space="preserve">FAMILIAR</t>
        </is>
      </c>
      <c r="G481" s="157" t="inlineStr">
        <is>
          <t xml:space="preserve">1 FAMNº4 (D.LECHE G/VAINILLA/CHOCOLATE) + 1 TACITA 1 BOCHA</t>
        </is>
      </c>
      <c r="H481" s="293" t="inlineStr">
        <is>
          <t xml:space="preserve">Rechazada</t>
        </is>
      </c>
      <c r="I481" s="157" t="inlineStr">
        <is>
          <t xml:space="preserve"/>
        </is>
      </c>
    </row>
    <row r="482">
      <c r="A482" s="156" t="inlineStr">
        <is>
          <t xml:space="preserve">Lanus Oeste</t>
        </is>
      </c>
      <c r="B482" s="160" t="inlineStr">
        <is>
          <t xml:space="preserve">Wanda</t>
        </is>
      </c>
      <c r="C482" s="133" t="inlineStr">
        <is>
          <t xml:space="preserve">22 h</t>
        </is>
      </c>
      <c r="D482" s="133" t="inlineStr">
        <is>
          <t xml:space="preserve">Salón</t>
        </is>
      </c>
      <c r="E482" s="93">
        <v>11700</v>
      </c>
      <c r="F482" s="157" t="inlineStr">
        <is>
          <t xml:space="preserve">HELADO X BOCHA</t>
        </is>
      </c>
      <c r="G482" s="157" t="inlineStr">
        <is>
          <t xml:space="preserve">3 GIGANTE 3 BOCHAS</t>
        </is>
      </c>
      <c r="H482" s="293" t="inlineStr">
        <is>
          <t xml:space="preserve">Rechazada</t>
        </is>
      </c>
      <c r="I482" s="157" t="inlineStr">
        <is>
          <t xml:space="preserve"/>
        </is>
      </c>
    </row>
    <row r="483">
      <c r="A483" s="156" t="inlineStr">
        <is>
          <t xml:space="preserve">Lanus Oeste</t>
        </is>
      </c>
      <c r="B483" s="160" t="inlineStr">
        <is>
          <t xml:space="preserve">Wanda</t>
        </is>
      </c>
      <c r="C483" s="133" t="inlineStr">
        <is>
          <t xml:space="preserve">22 h</t>
        </is>
      </c>
      <c r="D483" s="133" t="inlineStr">
        <is>
          <t xml:space="preserve">Salón</t>
        </is>
      </c>
      <c r="E483" s="93">
        <v>8800</v>
      </c>
      <c r="F483" s="157" t="inlineStr">
        <is>
          <t xml:space="preserve">TENTACION</t>
        </is>
      </c>
      <c r="G483" s="157" t="inlineStr">
        <is>
          <t xml:space="preserve">1 T.1 LT FRUTILLA</t>
        </is>
      </c>
      <c r="H483" s="293" t="inlineStr">
        <is>
          <t xml:space="preserve">Rechazada</t>
        </is>
      </c>
      <c r="I483" s="157" t="inlineStr">
        <is>
          <t xml:space="preserve"/>
        </is>
      </c>
    </row>
    <row r="484">
      <c r="A484" s="156" t="inlineStr">
        <is>
          <t xml:space="preserve">Lanus Oeste</t>
        </is>
      </c>
      <c r="B484" s="160" t="inlineStr">
        <is>
          <t xml:space="preserve">Wanda</t>
        </is>
      </c>
      <c r="C484" s="133" t="inlineStr">
        <is>
          <t xml:space="preserve">22 h</t>
        </is>
      </c>
      <c r="D484" s="133" t="inlineStr">
        <is>
          <t xml:space="preserve">Salón</t>
        </is>
      </c>
      <c r="E484" s="93">
        <v>18600</v>
      </c>
      <c r="F484" s="157" t="inlineStr">
        <is>
          <t xml:space="preserve">FAMILIAR</t>
        </is>
      </c>
      <c r="G484" s="157" t="inlineStr">
        <is>
          <t xml:space="preserve">1 FAMNº1 (CHOCOLATE/D.LECHE/AMERICANA) + 1 CUPS CONITO X 5 UN.</t>
        </is>
      </c>
      <c r="H484" s="293" t="inlineStr">
        <is>
          <t xml:space="preserve">Rechazada</t>
        </is>
      </c>
      <c r="I484" s="157" t="inlineStr">
        <is>
          <t xml:space="preserve"/>
        </is>
      </c>
    </row>
    <row r="485">
      <c r="A485" s="156" t="inlineStr">
        <is>
          <t xml:space="preserve">Lanus Oeste</t>
        </is>
      </c>
      <c r="B485" s="160" t="inlineStr">
        <is>
          <t xml:space="preserve">Wanda</t>
        </is>
      </c>
      <c r="C485" s="133" t="inlineStr">
        <is>
          <t xml:space="preserve">22 h</t>
        </is>
      </c>
      <c r="D485" s="133" t="inlineStr">
        <is>
          <t xml:space="preserve">Salón</t>
        </is>
      </c>
      <c r="E485" s="93">
        <v>23100</v>
      </c>
      <c r="F485" s="157" t="inlineStr">
        <is>
          <t xml:space="preserve">HELADO X  KILO</t>
        </is>
      </c>
      <c r="G485" s="157" t="inlineStr">
        <is>
          <t xml:space="preserve">1 1 KILO + 1 CUPS BLACK X 3</t>
        </is>
      </c>
      <c r="H485" s="227" t="inlineStr">
        <is>
          <t xml:space="preserve">Aceptada</t>
        </is>
      </c>
      <c r="I485" s="160" t="inlineStr">
        <is>
          <t xml:space="preserve">1 1/4  KILO</t>
        </is>
      </c>
    </row>
    <row r="486">
      <c r="A486" s="156" t="inlineStr">
        <is>
          <t xml:space="preserve">Lanus Oeste</t>
        </is>
      </c>
      <c r="B486" s="160" t="inlineStr">
        <is>
          <t xml:space="preserve">Wanda</t>
        </is>
      </c>
      <c r="C486" s="133" t="inlineStr">
        <is>
          <t xml:space="preserve">22 h</t>
        </is>
      </c>
      <c r="D486" s="133" t="inlineStr">
        <is>
          <t xml:space="preserve">Salón</t>
        </is>
      </c>
      <c r="E486" s="93">
        <v>10500</v>
      </c>
      <c r="F486" s="157" t="inlineStr">
        <is>
          <t xml:space="preserve">PALITOS</t>
        </is>
      </c>
      <c r="G486" s="157" t="inlineStr">
        <is>
          <t xml:space="preserve">1 P.FRUT.FRUTILLA EN CAJA X 20</t>
        </is>
      </c>
      <c r="H486" s="293" t="inlineStr">
        <is>
          <t xml:space="preserve">Rechazada</t>
        </is>
      </c>
      <c r="I486" s="157" t="inlineStr">
        <is>
          <t xml:space="preserve"/>
        </is>
      </c>
    </row>
    <row r="487">
      <c r="A487" s="156" t="inlineStr">
        <is>
          <t xml:space="preserve">Lanus Oeste</t>
        </is>
      </c>
      <c r="B487" s="160" t="inlineStr">
        <is>
          <t xml:space="preserve">Wanda</t>
        </is>
      </c>
      <c r="C487" s="133" t="inlineStr">
        <is>
          <t xml:space="preserve">22 h</t>
        </is>
      </c>
      <c r="D487" s="133" t="inlineStr">
        <is>
          <t xml:space="preserve">Salón</t>
        </is>
      </c>
      <c r="E487" s="93">
        <v>16900</v>
      </c>
      <c r="F487" s="157" t="inlineStr">
        <is>
          <t xml:space="preserve">HELADO X  KILO</t>
        </is>
      </c>
      <c r="G487" s="157" t="inlineStr">
        <is>
          <t xml:space="preserve">1 1 KILO</t>
        </is>
      </c>
      <c r="H487" s="293" t="inlineStr">
        <is>
          <t xml:space="preserve">Rechazada</t>
        </is>
      </c>
      <c r="I487" s="157" t="inlineStr">
        <is>
          <t xml:space="preserve"/>
        </is>
      </c>
    </row>
    <row r="488">
      <c r="A488" s="156" t="inlineStr">
        <is>
          <t xml:space="preserve">Lanus Oeste</t>
        </is>
      </c>
      <c r="B488" s="160" t="inlineStr">
        <is>
          <t xml:space="preserve">Wanda</t>
        </is>
      </c>
      <c r="C488" s="133" t="inlineStr">
        <is>
          <t xml:space="preserve">22 h</t>
        </is>
      </c>
      <c r="D488" s="133" t="inlineStr">
        <is>
          <t xml:space="preserve">Salón</t>
        </is>
      </c>
      <c r="E488" s="93">
        <v>10000</v>
      </c>
      <c r="F488" s="157" t="inlineStr">
        <is>
          <t xml:space="preserve">HELADO X  KILO</t>
        </is>
      </c>
      <c r="G488" s="157" t="inlineStr">
        <is>
          <t xml:space="preserve">1 1/2  KILO</t>
        </is>
      </c>
      <c r="H488" s="293" t="inlineStr">
        <is>
          <t xml:space="preserve">Rechazada</t>
        </is>
      </c>
      <c r="I488" s="157" t="inlineStr">
        <is>
          <t xml:space="preserve"/>
        </is>
      </c>
    </row>
    <row r="489">
      <c r="A489" s="156" t="inlineStr">
        <is>
          <t xml:space="preserve">Lanus Oeste</t>
        </is>
      </c>
      <c r="B489" s="160" t="inlineStr">
        <is>
          <t xml:space="preserve">Wanda</t>
        </is>
      </c>
      <c r="C489" s="133" t="inlineStr">
        <is>
          <t xml:space="preserve">23 h</t>
        </is>
      </c>
      <c r="D489" s="133" t="inlineStr">
        <is>
          <t xml:space="preserve">Salón</t>
        </is>
      </c>
      <c r="E489" s="93">
        <v>17900</v>
      </c>
      <c r="F489" s="157" t="inlineStr">
        <is>
          <t xml:space="preserve">HELADO X  KILO</t>
        </is>
      </c>
      <c r="G489" s="157" t="inlineStr">
        <is>
          <t xml:space="preserve">1 1 KILO + 1 CUPS CONITO X 5 UN.</t>
        </is>
      </c>
      <c r="H489" s="293" t="inlineStr">
        <is>
          <t xml:space="preserve">Rechazada</t>
        </is>
      </c>
      <c r="I489" s="157" t="inlineStr">
        <is>
          <t xml:space="preserve"/>
        </is>
      </c>
    </row>
    <row r="490">
      <c r="A490" s="156" t="inlineStr">
        <is>
          <t xml:space="preserve">Lanus Oeste</t>
        </is>
      </c>
      <c r="B490" s="160" t="inlineStr">
        <is>
          <t xml:space="preserve">Wanda</t>
        </is>
      </c>
      <c r="C490" s="133" t="inlineStr">
        <is>
          <t xml:space="preserve">23 h</t>
        </is>
      </c>
      <c r="D490" s="133" t="inlineStr">
        <is>
          <t xml:space="preserve">Salón</t>
        </is>
      </c>
      <c r="E490" s="93">
        <v>6400</v>
      </c>
      <c r="F490" s="157" t="inlineStr">
        <is>
          <t xml:space="preserve">HELADO X  KILO</t>
        </is>
      </c>
      <c r="G490" s="157" t="inlineStr">
        <is>
          <t xml:space="preserve">1 1/4  KILO</t>
        </is>
      </c>
      <c r="H490" s="293" t="inlineStr">
        <is>
          <t xml:space="preserve">Rechazada</t>
        </is>
      </c>
      <c r="I490" s="157" t="inlineStr">
        <is>
          <t xml:space="preserve"/>
        </is>
      </c>
    </row>
    <row r="491">
      <c r="A491" s="156" t="inlineStr">
        <is>
          <t xml:space="preserve">Lanus Oeste</t>
        </is>
      </c>
      <c r="B491" s="160" t="inlineStr">
        <is>
          <t xml:space="preserve">Wanda</t>
        </is>
      </c>
      <c r="C491" s="133" t="inlineStr">
        <is>
          <t xml:space="preserve">23 h</t>
        </is>
      </c>
      <c r="D491" s="133" t="inlineStr">
        <is>
          <t xml:space="preserve">Salón</t>
        </is>
      </c>
      <c r="E491" s="93">
        <v>24100</v>
      </c>
      <c r="F491" s="157" t="inlineStr">
        <is>
          <t xml:space="preserve">HELADO X  KILO</t>
        </is>
      </c>
      <c r="G491" s="157" t="inlineStr">
        <is>
          <t xml:space="preserve">1 1 KILO + 3 BOMBON ESCOCES X UNIDAD</t>
        </is>
      </c>
      <c r="H491" s="293" t="inlineStr">
        <is>
          <t xml:space="preserve">Rechazada</t>
        </is>
      </c>
      <c r="I491" s="157" t="inlineStr">
        <is>
          <t xml:space="preserve"/>
        </is>
      </c>
    </row>
    <row r="492">
      <c r="A492" s="156" t="inlineStr">
        <is>
          <t xml:space="preserve">Lanus Oeste</t>
        </is>
      </c>
      <c r="B492" s="160" t="inlineStr">
        <is>
          <t xml:space="preserve">Wanda</t>
        </is>
      </c>
      <c r="C492" s="133" t="inlineStr">
        <is>
          <t xml:space="preserve">23 h</t>
        </is>
      </c>
      <c r="D492" s="133" t="inlineStr">
        <is>
          <t xml:space="preserve">Salón</t>
        </is>
      </c>
      <c r="E492" s="93">
        <v>3500</v>
      </c>
      <c r="F492" s="157" t="inlineStr">
        <is>
          <t xml:space="preserve">HELADO X BOCHA</t>
        </is>
      </c>
      <c r="G492" s="157" t="inlineStr">
        <is>
          <t xml:space="preserve">1 TACITA 2 BOCHAS</t>
        </is>
      </c>
      <c r="H492" s="293" t="inlineStr">
        <is>
          <t xml:space="preserve">Rechazada</t>
        </is>
      </c>
      <c r="I492" s="157" t="inlineStr">
        <is>
          <t xml:space="preserve"/>
        </is>
      </c>
    </row>
    <row r="493">
      <c r="A493" s="156" t="inlineStr">
        <is>
          <t xml:space="preserve">Lanus Oeste</t>
        </is>
      </c>
      <c r="B493" s="160" t="inlineStr">
        <is>
          <t xml:space="preserve">Wanda</t>
        </is>
      </c>
      <c r="C493" s="133" t="inlineStr">
        <is>
          <t xml:space="preserve">23 h</t>
        </is>
      </c>
      <c r="D493" s="133" t="inlineStr">
        <is>
          <t xml:space="preserve">Salón</t>
        </is>
      </c>
      <c r="E493" s="93">
        <v>10000</v>
      </c>
      <c r="F493" s="157" t="inlineStr">
        <is>
          <t xml:space="preserve">HELADO X  KILO</t>
        </is>
      </c>
      <c r="G493" s="157" t="inlineStr">
        <is>
          <t xml:space="preserve">1 1/2  KILO</t>
        </is>
      </c>
      <c r="H493" s="293" t="inlineStr">
        <is>
          <t xml:space="preserve">Rechazada</t>
        </is>
      </c>
      <c r="I493" s="157" t="inlineStr">
        <is>
          <t xml:space="preserve"/>
        </is>
      </c>
    </row>
    <row r="494">
      <c r="A494" s="156" t="inlineStr">
        <is>
          <t xml:space="preserve">Lanus Oeste</t>
        </is>
      </c>
      <c r="B494" s="160" t="inlineStr">
        <is>
          <t xml:space="preserve">Wanda</t>
        </is>
      </c>
      <c r="C494" s="133" t="inlineStr">
        <is>
          <t xml:space="preserve">23 h</t>
        </is>
      </c>
      <c r="D494" s="133" t="inlineStr">
        <is>
          <t xml:space="preserve">Salón</t>
        </is>
      </c>
      <c r="E494" s="93">
        <v>10000</v>
      </c>
      <c r="F494" s="157" t="inlineStr">
        <is>
          <t xml:space="preserve">HELADO X  KILO</t>
        </is>
      </c>
      <c r="G494" s="157" t="inlineStr">
        <is>
          <t xml:space="preserve">1 1/2  KILO</t>
        </is>
      </c>
      <c r="H494" s="293" t="inlineStr">
        <is>
          <t xml:space="preserve">Rechazada</t>
        </is>
      </c>
      <c r="I494" s="157" t="inlineStr">
        <is>
          <t xml:space="preserve"/>
        </is>
      </c>
    </row>
    <row r="495">
      <c r="A495" s="156" t="inlineStr">
        <is>
          <t xml:space="preserve">Lanus Oeste</t>
        </is>
      </c>
      <c r="B495" s="160" t="inlineStr">
        <is>
          <t xml:space="preserve">Wanda</t>
        </is>
      </c>
      <c r="C495" s="133" t="inlineStr">
        <is>
          <t xml:space="preserve">23 h</t>
        </is>
      </c>
      <c r="D495" s="133" t="inlineStr">
        <is>
          <t xml:space="preserve">Salón</t>
        </is>
      </c>
      <c r="E495" s="93">
        <v>11400</v>
      </c>
      <c r="F495" s="157" t="inlineStr">
        <is>
          <t xml:space="preserve">HELADO X  KILO</t>
        </is>
      </c>
      <c r="G495" s="157" t="inlineStr">
        <is>
          <t xml:space="preserve">1 1/4  KILO</t>
        </is>
      </c>
      <c r="H495" s="227" t="inlineStr">
        <is>
          <t xml:space="preserve">Aceptada</t>
        </is>
      </c>
      <c r="I495" s="160" t="inlineStr">
        <is>
          <t xml:space="preserve">1 1/4  KILO</t>
        </is>
      </c>
    </row>
    <row r="496">
      <c r="A496" s="156" t="inlineStr">
        <is>
          <t xml:space="preserve">Lanus Oeste</t>
        </is>
      </c>
      <c r="B496" s="160" t="inlineStr">
        <is>
          <t xml:space="preserve">Wanda</t>
        </is>
      </c>
      <c r="C496" s="133" t="inlineStr">
        <is>
          <t xml:space="preserve">23 h</t>
        </is>
      </c>
      <c r="D496" s="133" t="inlineStr">
        <is>
          <t xml:space="preserve">Salón</t>
        </is>
      </c>
      <c r="E496" s="93">
        <v>11600</v>
      </c>
      <c r="F496" s="157" t="inlineStr">
        <is>
          <t xml:space="preserve">PALITOS</t>
        </is>
      </c>
      <c r="G496" s="157" t="inlineStr">
        <is>
          <t xml:space="preserve">2 PALITO CREMOSO AMERICANA X10 U.</t>
        </is>
      </c>
      <c r="H496" s="293" t="inlineStr">
        <is>
          <t xml:space="preserve">Rechazada</t>
        </is>
      </c>
      <c r="I496" s="157" t="inlineStr">
        <is>
          <t xml:space="preserve"/>
        </is>
      </c>
    </row>
    <row r="497">
      <c r="A497" s="156" t="inlineStr">
        <is>
          <t xml:space="preserve">Lanus Oeste</t>
        </is>
      </c>
      <c r="B497" s="160" t="inlineStr">
        <is>
          <t xml:space="preserve">Wanda</t>
        </is>
      </c>
      <c r="C497" s="133" t="inlineStr">
        <is>
          <t xml:space="preserve">23 h</t>
        </is>
      </c>
      <c r="D497" s="133" t="inlineStr">
        <is>
          <t xml:space="preserve">Salón</t>
        </is>
      </c>
      <c r="E497" s="93">
        <v>10500</v>
      </c>
      <c r="F497" s="157" t="inlineStr">
        <is>
          <t xml:space="preserve">PALITOS</t>
        </is>
      </c>
      <c r="G497" s="157" t="inlineStr">
        <is>
          <t xml:space="preserve">1 P.FRUT.FRUTILLA EN CAJA X 20</t>
        </is>
      </c>
      <c r="H497" s="293" t="inlineStr">
        <is>
          <t xml:space="preserve">Rechazada</t>
        </is>
      </c>
      <c r="I497" s="157" t="inlineStr">
        <is>
          <t xml:space="preserve"/>
        </is>
      </c>
    </row>
    <row r="498">
      <c r="A498" s="156" t="inlineStr">
        <is>
          <t xml:space="preserve">Lanus Oeste</t>
        </is>
      </c>
      <c r="B498" s="160" t="inlineStr">
        <is>
          <t xml:space="preserve">Wanda</t>
        </is>
      </c>
      <c r="C498" s="133" t="inlineStr">
        <is>
          <t xml:space="preserve">23 h</t>
        </is>
      </c>
      <c r="D498" s="133" t="inlineStr">
        <is>
          <t xml:space="preserve">Salón</t>
        </is>
      </c>
      <c r="E498" s="93">
        <v>19000</v>
      </c>
      <c r="F498" s="157" t="inlineStr">
        <is>
          <t xml:space="preserve">HELADO X  KILO</t>
        </is>
      </c>
      <c r="G498" s="157" t="inlineStr">
        <is>
          <t xml:space="preserve">1 1/2  KILO + 2 GRIDO TOPS - SALSA CHOCOLATE</t>
        </is>
      </c>
      <c r="H498" s="227" t="inlineStr">
        <is>
          <t xml:space="preserve">Aceptada</t>
        </is>
      </c>
      <c r="I498" s="160" t="inlineStr">
        <is>
          <t xml:space="preserve">1 1/2  KILO</t>
        </is>
      </c>
    </row>
    <row r="499">
      <c r="A499" s="156" t="inlineStr">
        <is>
          <t xml:space="preserve">Lanus Oeste</t>
        </is>
      </c>
      <c r="B499" s="160" t="inlineStr">
        <is>
          <t xml:space="preserve">Wanda</t>
        </is>
      </c>
      <c r="C499" s="133" t="inlineStr">
        <is>
          <t xml:space="preserve">23 h</t>
        </is>
      </c>
      <c r="D499" s="133" t="inlineStr">
        <is>
          <t xml:space="preserve">Salón</t>
        </is>
      </c>
      <c r="E499" s="93">
        <v>6400</v>
      </c>
      <c r="F499" s="157" t="inlineStr">
        <is>
          <t xml:space="preserve">CONGELADOS</t>
        </is>
      </c>
      <c r="G499" s="157" t="inlineStr">
        <is>
          <t xml:space="preserve">1 FRAMBUESAS DOBLE CHOCOLATE - GRIDO + 1 PALITO FRUTAL NARANJA X UNIDAD</t>
        </is>
      </c>
      <c r="H499" s="293" t="inlineStr">
        <is>
          <t xml:space="preserve">Rechazada</t>
        </is>
      </c>
      <c r="I499" s="157" t="inlineStr">
        <is>
          <t xml:space="preserve"/>
        </is>
      </c>
    </row>
    <row r="500">
      <c r="A500" s="156" t="inlineStr">
        <is>
          <t xml:space="preserve">Lanus Oeste</t>
        </is>
      </c>
      <c r="B500" s="160" t="inlineStr">
        <is>
          <t xml:space="preserve">Wanda</t>
        </is>
      </c>
      <c r="C500" s="133" t="inlineStr">
        <is>
          <t xml:space="preserve">23 h</t>
        </is>
      </c>
      <c r="D500" s="133" t="inlineStr">
        <is>
          <t xml:space="preserve">Salón</t>
        </is>
      </c>
      <c r="E500" s="93">
        <v>22500</v>
      </c>
      <c r="F500" s="157" t="inlineStr">
        <is>
          <t xml:space="preserve">TORTAS</t>
        </is>
      </c>
      <c r="G500" s="157" t="inlineStr">
        <is>
          <t xml:space="preserve">1 TORTA COOKIES AND CREAM</t>
        </is>
      </c>
      <c r="H500" s="227" t="inlineStr">
        <is>
          <t xml:space="preserve">Aceptada</t>
        </is>
      </c>
      <c r="I500" s="160" t="inlineStr">
        <is>
          <t xml:space="preserve">1 1/4  KILO</t>
        </is>
      </c>
    </row>
    <row r="501" ht="20" customHeight="1">
      <c r="A501" s="162" t="inlineStr">
        <is>
          <t xml:space="preserve">TOTAL</t>
        </is>
      </c>
      <c r="B501" s="138">
        <f>SUBTOTAL(103,A5:A500)</f>
        <v>496</v>
      </c>
      <c r="C501" s="295" t="inlineStr">
        <is>
          <t xml:space="preserve">tickets</t>
        </is>
      </c>
      <c r="D501" s="163" t="inlineStr">
        <is>
          <t xml:space="preserve"/>
        </is>
      </c>
      <c r="E501" s="98">
        <f>SUBTOTAL(109,E5:E500)</f>
        <v>7132759.02</v>
      </c>
      <c r="F501" s="163" t="inlineStr">
        <is>
          <t xml:space="preserve"/>
        </is>
      </c>
      <c r="G501" s="163" t="inlineStr">
        <is>
          <t xml:space="preserve"/>
        </is>
      </c>
      <c r="H501" s="163" t="inlineStr">
        <is>
          <t xml:space="preserve"/>
        </is>
      </c>
      <c r="I501" s="163" t="inlineStr">
        <is>
          <t xml:space="preserve"/>
        </is>
      </c>
    </row>
    <row r="503" ht="40" customHeight="1">
      <c r="A503" s="143" t="inlineStr">
        <is>
          <t xml:space="preserve">Importe = lo que pagó el cliente por el ticket (neto de descuentos de apps), igual que la venta del Informe Diario. Producto llevado = todo lo del ticket menos la sobreventa; si fue parte de una promo, figura cada producto. Sobreventa: Aceptada / Rechazada / No ofrecida (en apps no se ofrece). La fila TOTAL suma solo lo que queda visible con los filtros.</t>
        </is>
      </c>
      <c r="B503" s="143"/>
      <c r="C503" s="143"/>
      <c r="D503" s="143"/>
      <c r="E503" s="143"/>
      <c r="F503" s="143"/>
      <c r="G503" s="143"/>
      <c r="H503" s="143"/>
      <c r="I503" s="143"/>
    </row>
  </sheetData>
  <autoFilter ref="A4:I500"/>
  <mergeCells count="3">
    <mergeCell ref="A1:I1"/>
    <mergeCell ref="A2:I2"/>
    <mergeCell ref="A503:I503"/>
  </mergeCells>
  <pageMargins left="0.4" right="0.4" top="0.5" bottom="0.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D3C98"/>
  </sheetPr>
  <sheetViews>
    <sheetView showGridLines="0" zoomScale="90" zoomScaleNormal="90" workbookViewId="0"/>
  </sheetViews>
  <sheetFormatPr defaultRowHeight="15"/>
  <cols>
    <col min="1" max="1" width="14" customWidth="1"/>
    <col min="2" max="2" width="14" customWidth="1"/>
    <col min="3" max="3" width="62" customWidth="1"/>
    <col min="4" max="4" width="24" customWidth="1"/>
    <col min="5" max="5" width="14" customWidth="1"/>
    <col min="6" max="6" width="18" customWidth="1"/>
  </cols>
  <sheetData>
    <row r="1" ht="34" customHeight="1">
      <c r="A1" s="54" t="inlineStr">
        <is>
          <t xml:space="preserve">EFEMÉRIDES  ·  DOMINGO 27/09/2026</t>
        </is>
      </c>
      <c r="B1" s="54"/>
      <c r="C1" s="54"/>
      <c r="D1" s="54"/>
      <c r="E1" s="54"/>
      <c r="F1" s="54"/>
    </row>
    <row r="2" ht="20" customHeight="1">
      <c r="A2" s="55" t="inlineStr">
        <is>
          <t xml:space="preserve">Fechas especiales del día y del año: feriados, días no laborables, calendario escolar y otras fechas que pueden mover la venta. Se editan en reportes\calendario\feriados.csv y efemerides.csv.</t>
        </is>
      </c>
      <c r="B2" s="55"/>
      <c r="C2" s="55"/>
      <c r="D2" s="55"/>
      <c r="E2" s="55"/>
      <c r="F2" s="55"/>
    </row>
    <row r="3" ht="8" customHeight="1"/>
    <row r="4" ht="22" customHeight="1">
      <c r="A4" s="222" t="inlineStr">
        <is>
          <t xml:space="preserve">PRÓXIMAMENTE</t>
        </is>
      </c>
      <c r="B4" s="222"/>
      <c r="C4" s="222"/>
      <c r="D4" s="222"/>
      <c r="E4" s="222"/>
    </row>
    <row r="5" ht="22" customHeight="1">
      <c r="A5" s="222"/>
      <c r="B5" s="222"/>
      <c r="C5" s="222"/>
      <c r="D5" s="222"/>
      <c r="E5" s="222"/>
    </row>
    <row r="6" ht="22" customHeight="1">
      <c r="A6" s="222"/>
      <c r="B6" s="222"/>
      <c r="C6" s="222"/>
      <c r="D6" s="222"/>
      <c r="E6" s="222"/>
    </row>
    <row r="7" ht="20" customHeight="1">
      <c r="A7" s="143" t="inlineStr">
        <is>
          <t xml:space="preserve">En esta solapa se van a sumar las efemérides de cada día (fechas patrias, días especiales, eventos de la zona). Las que ya están cargadas también las usa el modelo de venta esperada.</t>
        </is>
      </c>
      <c r="B7" s="143"/>
      <c r="C7" s="143"/>
      <c r="D7" s="143"/>
      <c r="E7" s="143"/>
    </row>
    <row r="9" ht="22" customHeight="1">
      <c r="A9" s="223" t="inlineStr">
        <is>
          <t xml:space="preserve">EL DÍA</t>
        </is>
      </c>
      <c r="B9" s="223"/>
      <c r="C9" s="223"/>
      <c r="D9" s="223"/>
      <c r="E9" s="223"/>
    </row>
    <row r="10">
      <c r="A10" s="224" t="inlineStr">
        <is>
          <t xml:space="preserve">Fecha</t>
        </is>
      </c>
      <c r="B10" s="226">
        <v>46292</v>
      </c>
      <c r="C10" s="225"/>
      <c r="D10" s="225"/>
      <c r="E10" s="225"/>
    </row>
    <row r="11">
      <c r="A11" s="224" t="inlineStr">
        <is>
          <t xml:space="preserve">Día</t>
        </is>
      </c>
      <c r="B11" s="225" t="inlineStr">
        <is>
          <t xml:space="preserve">Domingo</t>
        </is>
      </c>
      <c r="C11" s="225"/>
      <c r="D11" s="225"/>
      <c r="E11" s="225"/>
    </row>
    <row r="12">
      <c r="A12" s="224" t="inlineStr">
        <is>
          <t xml:space="preserve">¿Feriado?</t>
        </is>
      </c>
      <c r="B12" s="227" t="inlineStr">
        <is>
          <t xml:space="preserve">No</t>
        </is>
      </c>
      <c r="C12" s="228" t="inlineStr">
        <is>
          <t xml:space="preserve">Día común, sin feriado ni día no laborable</t>
        </is>
      </c>
      <c r="D12" s="225"/>
      <c r="E12" s="225"/>
    </row>
    <row r="13">
      <c r="A13" s="224" t="inlineStr">
        <is>
          <t xml:space="preserve">Efeméride</t>
        </is>
      </c>
      <c r="B13" s="229" t="inlineStr">
        <is>
          <t xml:space="preserve">No</t>
        </is>
      </c>
      <c r="C13" s="225" t="inlineStr">
        <is>
          <t xml:space="preserve">Sin efeméride comercial cargada</t>
        </is>
      </c>
      <c r="D13" s="225"/>
      <c r="E13" s="225"/>
    </row>
    <row r="14">
      <c r="A14" s="224" t="inlineStr">
        <is>
          <t xml:space="preserve">Próximo feriado</t>
        </is>
      </c>
      <c r="B14" s="226">
        <v>46307</v>
      </c>
      <c r="C14" s="225" t="inlineStr">
        <is>
          <t xml:space="preserve">Lunes: Día del Respeto a la Diversidad Cultural</t>
        </is>
      </c>
      <c r="D14" s="225"/>
      <c r="E14" s="225"/>
    </row>
    <row r="15">
      <c r="A15" s="224" t="inlineStr">
        <is>
          <t xml:space="preserve">Faltan (días)</t>
        </is>
      </c>
      <c r="B15" s="230">
        <f>B14-B10</f>
        <v>15</v>
      </c>
      <c r="C15" s="225"/>
      <c r="D15" s="225"/>
      <c r="E15" s="225"/>
    </row>
    <row r="17" ht="22" customHeight="1">
      <c r="A17" s="223" t="inlineStr">
        <is>
          <t xml:space="preserve">CALENDARIO 2026 (Y HASTA EL 01/05/2027): FERIADOS, DÍAS NO LABORABLES Y FECHAS QUE PUEDEN AFECTAR LAS VENTAS</t>
        </is>
      </c>
      <c r="B17" s="223"/>
      <c r="C17" s="223"/>
      <c r="D17" s="223"/>
      <c r="E17" s="223"/>
      <c r="F17" s="223"/>
    </row>
    <row r="18" ht="30" customHeight="1">
      <c r="A18" s="81" t="inlineStr">
        <is>
          <t xml:space="preserve">Fecha</t>
        </is>
      </c>
      <c r="B18" s="81" t="inlineStr">
        <is>
          <t xml:space="preserve">Día</t>
        </is>
      </c>
      <c r="C18" s="81" t="inlineStr">
        <is>
          <t xml:space="preserve">Qué se celebra / qué pasa</t>
        </is>
      </c>
      <c r="D18" s="81" t="inlineStr">
        <is>
          <t xml:space="preserve">Tipo</t>
        </is>
      </c>
      <c r="E18" s="81" t="inlineStr">
        <is>
          <t xml:space="preserve">Faltan (días)</t>
        </is>
      </c>
      <c r="F18" s="81" t="inlineStr">
        <is>
          <t xml:space="preserve">Verificado</t>
        </is>
      </c>
    </row>
    <row r="19">
      <c r="A19" s="231">
        <v>46023</v>
      </c>
      <c r="B19" s="232" t="inlineStr">
        <is>
          <t xml:space="preserve">Jueves</t>
        </is>
      </c>
      <c r="C19" s="233" t="inlineStr">
        <is>
          <t xml:space="preserve">Año Nuevo</t>
        </is>
      </c>
      <c r="D19" s="232" t="inlineStr">
        <is>
          <t xml:space="preserve">Feriado</t>
        </is>
      </c>
      <c r="E19" s="234">
        <f>A19-$B$10</f>
        <v>-269</v>
      </c>
      <c r="F19" s="235" t="inlineStr">
        <is>
          <t xml:space="preserve">A verificar</t>
        </is>
      </c>
    </row>
    <row r="20">
      <c r="A20" s="236">
        <v>46067</v>
      </c>
      <c r="B20" s="237" t="inlineStr">
        <is>
          <t xml:space="preserve">Sábado</t>
        </is>
      </c>
      <c r="C20" s="238" t="inlineStr">
        <is>
          <t xml:space="preserve">San Valentín</t>
        </is>
      </c>
      <c r="D20" s="237" t="inlineStr">
        <is>
          <t xml:space="preserve">Efeméride · Comercial</t>
        </is>
      </c>
      <c r="E20" s="239">
        <f>A20-$B$10</f>
        <v>-225</v>
      </c>
      <c r="F20" s="237" t="inlineStr">
        <is>
          <t xml:space="preserve">Sí (fecha fija)</t>
        </is>
      </c>
    </row>
    <row r="21">
      <c r="A21" s="231">
        <v>46069</v>
      </c>
      <c r="B21" s="232" t="inlineStr">
        <is>
          <t xml:space="preserve">Lunes</t>
        </is>
      </c>
      <c r="C21" s="233" t="inlineStr">
        <is>
          <t xml:space="preserve">Carnaval</t>
        </is>
      </c>
      <c r="D21" s="232" t="inlineStr">
        <is>
          <t xml:space="preserve">Feriado</t>
        </is>
      </c>
      <c r="E21" s="234">
        <f>A21-$B$10</f>
        <v>-223</v>
      </c>
      <c r="F21" s="235" t="inlineStr">
        <is>
          <t xml:space="preserve">A verificar</t>
        </is>
      </c>
    </row>
    <row r="22">
      <c r="A22" s="231">
        <v>46070</v>
      </c>
      <c r="B22" s="232" t="inlineStr">
        <is>
          <t xml:space="preserve">Martes</t>
        </is>
      </c>
      <c r="C22" s="233" t="inlineStr">
        <is>
          <t xml:space="preserve">Carnaval</t>
        </is>
      </c>
      <c r="D22" s="232" t="inlineStr">
        <is>
          <t xml:space="preserve">Feriado</t>
        </is>
      </c>
      <c r="E22" s="234">
        <f>A22-$B$10</f>
        <v>-222</v>
      </c>
      <c r="F22" s="235" t="inlineStr">
        <is>
          <t xml:space="preserve">A verificar</t>
        </is>
      </c>
    </row>
    <row r="23">
      <c r="A23" s="240">
        <v>46083</v>
      </c>
      <c r="B23" s="241" t="inlineStr">
        <is>
          <t xml:space="preserve">Lunes</t>
        </is>
      </c>
      <c r="C23" s="242" t="inlineStr">
        <is>
          <t xml:space="preserve">Inicio de clases (Prov. de Buenos Aires: Lanús y Lomas de Zamora)</t>
        </is>
      </c>
      <c r="D23" s="241" t="inlineStr">
        <is>
          <t xml:space="preserve">Efeméride · Escolar</t>
        </is>
      </c>
      <c r="E23" s="243">
        <f>A23-$B$10</f>
        <v>-209</v>
      </c>
      <c r="F23" s="244" t="inlineStr">
        <is>
          <t xml:space="preserve">A verificar</t>
        </is>
      </c>
    </row>
    <row r="24">
      <c r="A24" s="231">
        <v>46104</v>
      </c>
      <c r="B24" s="232" t="inlineStr">
        <is>
          <t xml:space="preserve">Lunes</t>
        </is>
      </c>
      <c r="C24" s="233" t="inlineStr">
        <is>
          <t xml:space="preserve">Día no laborable con fines turísticos</t>
        </is>
      </c>
      <c r="D24" s="232" t="inlineStr">
        <is>
          <t xml:space="preserve">Puente</t>
        </is>
      </c>
      <c r="E24" s="234">
        <f>A24-$B$10</f>
        <v>-188</v>
      </c>
      <c r="F24" s="235" t="inlineStr">
        <is>
          <t xml:space="preserve">A verificar</t>
        </is>
      </c>
    </row>
    <row r="25">
      <c r="A25" s="231">
        <v>46105</v>
      </c>
      <c r="B25" s="232" t="inlineStr">
        <is>
          <t xml:space="preserve">Martes</t>
        </is>
      </c>
      <c r="C25" s="233" t="inlineStr">
        <is>
          <t xml:space="preserve">Día de la Memoria</t>
        </is>
      </c>
      <c r="D25" s="232" t="inlineStr">
        <is>
          <t xml:space="preserve">Feriado</t>
        </is>
      </c>
      <c r="E25" s="234">
        <f>A25-$B$10</f>
        <v>-187</v>
      </c>
      <c r="F25" s="235" t="inlineStr">
        <is>
          <t xml:space="preserve">A verificar</t>
        </is>
      </c>
    </row>
    <row r="26">
      <c r="A26" s="231">
        <v>46114</v>
      </c>
      <c r="B26" s="232" t="inlineStr">
        <is>
          <t xml:space="preserve">Jueves</t>
        </is>
      </c>
      <c r="C26" s="233" t="inlineStr">
        <is>
          <t xml:space="preserve">Malvinas / Jueves Santo</t>
        </is>
      </c>
      <c r="D26" s="232" t="inlineStr">
        <is>
          <t xml:space="preserve">Feriado</t>
        </is>
      </c>
      <c r="E26" s="234">
        <f>A26-$B$10</f>
        <v>-178</v>
      </c>
      <c r="F26" s="235" t="inlineStr">
        <is>
          <t xml:space="preserve">A verificar</t>
        </is>
      </c>
    </row>
    <row r="27">
      <c r="A27" s="231">
        <v>46115</v>
      </c>
      <c r="B27" s="232" t="inlineStr">
        <is>
          <t xml:space="preserve">Viernes</t>
        </is>
      </c>
      <c r="C27" s="233" t="inlineStr">
        <is>
          <t xml:space="preserve">Viernes Santo</t>
        </is>
      </c>
      <c r="D27" s="232" t="inlineStr">
        <is>
          <t xml:space="preserve">Feriado</t>
        </is>
      </c>
      <c r="E27" s="234">
        <f>A27-$B$10</f>
        <v>-177</v>
      </c>
      <c r="F27" s="235" t="inlineStr">
        <is>
          <t xml:space="preserve">A verificar</t>
        </is>
      </c>
    </row>
    <row r="28">
      <c r="A28" s="245">
        <v>46117</v>
      </c>
      <c r="B28" s="246" t="inlineStr">
        <is>
          <t xml:space="preserve">Domingo</t>
        </is>
      </c>
      <c r="C28" s="247" t="inlineStr">
        <is>
          <t xml:space="preserve">Pascua (Domingo de Resurrección)</t>
        </is>
      </c>
      <c r="D28" s="246" t="inlineStr">
        <is>
          <t xml:space="preserve">Efeméride · Familiar</t>
        </is>
      </c>
      <c r="E28" s="248">
        <f>A28-$B$10</f>
        <v>-175</v>
      </c>
      <c r="F28" s="246" t="inlineStr">
        <is>
          <t xml:space="preserve">Sí (calculada)</t>
        </is>
      </c>
    </row>
    <row r="29">
      <c r="A29" s="231">
        <v>46143</v>
      </c>
      <c r="B29" s="232" t="inlineStr">
        <is>
          <t xml:space="preserve">Viernes</t>
        </is>
      </c>
      <c r="C29" s="233" t="inlineStr">
        <is>
          <t xml:space="preserve">Día del Trabajador</t>
        </is>
      </c>
      <c r="D29" s="232" t="inlineStr">
        <is>
          <t xml:space="preserve">Feriado</t>
        </is>
      </c>
      <c r="E29" s="234">
        <f>A29-$B$10</f>
        <v>-149</v>
      </c>
      <c r="F29" s="235" t="inlineStr">
        <is>
          <t xml:space="preserve">A verificar</t>
        </is>
      </c>
    </row>
    <row r="30">
      <c r="A30" s="231">
        <v>46167</v>
      </c>
      <c r="B30" s="232" t="inlineStr">
        <is>
          <t xml:space="preserve">Lunes</t>
        </is>
      </c>
      <c r="C30" s="233" t="inlineStr">
        <is>
          <t xml:space="preserve">Revolución de Mayo</t>
        </is>
      </c>
      <c r="D30" s="232" t="inlineStr">
        <is>
          <t xml:space="preserve">Feriado</t>
        </is>
      </c>
      <c r="E30" s="234">
        <f>A30-$B$10</f>
        <v>-125</v>
      </c>
      <c r="F30" s="235" t="inlineStr">
        <is>
          <t xml:space="preserve">A verificar</t>
        </is>
      </c>
    </row>
    <row r="31">
      <c r="A31" s="249">
        <v>46184</v>
      </c>
      <c r="B31" s="250" t="inlineStr">
        <is>
          <t xml:space="preserve">Jueves</t>
        </is>
      </c>
      <c r="C31" s="251" t="inlineStr">
        <is>
          <t xml:space="preserve">Inicio del Mundial 2026</t>
        </is>
      </c>
      <c r="D31" s="250" t="inlineStr">
        <is>
          <t xml:space="preserve">Efeméride · Deportivo</t>
        </is>
      </c>
      <c r="E31" s="252">
        <f>A31-$B$10</f>
        <v>-108</v>
      </c>
      <c r="F31" s="253" t="inlineStr">
        <is>
          <t xml:space="preserve">A verificar</t>
        </is>
      </c>
    </row>
    <row r="32">
      <c r="A32" s="231">
        <v>46188</v>
      </c>
      <c r="B32" s="232" t="inlineStr">
        <is>
          <t xml:space="preserve">Lunes</t>
        </is>
      </c>
      <c r="C32" s="233" t="inlineStr">
        <is>
          <t xml:space="preserve">Paso a la Inmortalidad de Güemes (trasladado)</t>
        </is>
      </c>
      <c r="D32" s="232" t="inlineStr">
        <is>
          <t xml:space="preserve">Feriado</t>
        </is>
      </c>
      <c r="E32" s="234">
        <f>A32-$B$10</f>
        <v>-104</v>
      </c>
      <c r="F32" s="235" t="inlineStr">
        <is>
          <t xml:space="preserve">A verificar</t>
        </is>
      </c>
    </row>
    <row r="33">
      <c r="A33" s="249">
        <v>46189</v>
      </c>
      <c r="B33" s="250" t="inlineStr">
        <is>
          <t xml:space="preserve">Martes</t>
        </is>
      </c>
      <c r="C33" s="251" t="inlineStr">
        <is>
          <t xml:space="preserve">Mundial 2026: partido de Argentina (fase de grupos)</t>
        </is>
      </c>
      <c r="D33" s="250" t="inlineStr">
        <is>
          <t xml:space="preserve">Efeméride · Deportivo</t>
        </is>
      </c>
      <c r="E33" s="252">
        <f>A33-$B$10</f>
        <v>-103</v>
      </c>
      <c r="F33" s="253" t="inlineStr">
        <is>
          <t xml:space="preserve">A verificar</t>
        </is>
      </c>
    </row>
    <row r="34">
      <c r="A34" s="231">
        <v>46193</v>
      </c>
      <c r="B34" s="232" t="inlineStr">
        <is>
          <t xml:space="preserve">Sábado</t>
        </is>
      </c>
      <c r="C34" s="233" t="inlineStr">
        <is>
          <t xml:space="preserve">Paso a la Inmortalidad de Belgrano</t>
        </is>
      </c>
      <c r="D34" s="232" t="inlineStr">
        <is>
          <t xml:space="preserve">Feriado</t>
        </is>
      </c>
      <c r="E34" s="234">
        <f>A34-$B$10</f>
        <v>-99</v>
      </c>
      <c r="F34" s="235" t="inlineStr">
        <is>
          <t xml:space="preserve">A verificar</t>
        </is>
      </c>
    </row>
    <row r="35">
      <c r="A35" s="245">
        <v>46194</v>
      </c>
      <c r="B35" s="246" t="inlineStr">
        <is>
          <t xml:space="preserve">Domingo</t>
        </is>
      </c>
      <c r="C35" s="247" t="inlineStr">
        <is>
          <t xml:space="preserve">Día del Padre</t>
        </is>
      </c>
      <c r="D35" s="246" t="inlineStr">
        <is>
          <t xml:space="preserve">Efeméride · Familiar</t>
        </is>
      </c>
      <c r="E35" s="248">
        <f>A35-$B$10</f>
        <v>-98</v>
      </c>
      <c r="F35" s="246" t="inlineStr">
        <is>
          <t xml:space="preserve">Sí (3er domingo de junio)</t>
        </is>
      </c>
    </row>
    <row r="36">
      <c r="A36" s="249">
        <v>46195</v>
      </c>
      <c r="B36" s="250" t="inlineStr">
        <is>
          <t xml:space="preserve">Lunes</t>
        </is>
      </c>
      <c r="C36" s="251" t="inlineStr">
        <is>
          <t xml:space="preserve">Mundial 2026: partido de Argentina (fase de grupos)</t>
        </is>
      </c>
      <c r="D36" s="250" t="inlineStr">
        <is>
          <t xml:space="preserve">Efeméride · Deportivo</t>
        </is>
      </c>
      <c r="E36" s="252">
        <f>A36-$B$10</f>
        <v>-97</v>
      </c>
      <c r="F36" s="253" t="inlineStr">
        <is>
          <t xml:space="preserve">A verificar</t>
        </is>
      </c>
    </row>
    <row r="37">
      <c r="A37" s="249">
        <v>46200</v>
      </c>
      <c r="B37" s="250" t="inlineStr">
        <is>
          <t xml:space="preserve">Sábado</t>
        </is>
      </c>
      <c r="C37" s="251" t="inlineStr">
        <is>
          <t xml:space="preserve">Mundial 2026: partido de Argentina (fase de grupos)</t>
        </is>
      </c>
      <c r="D37" s="250" t="inlineStr">
        <is>
          <t xml:space="preserve">Efeméride · Deportivo</t>
        </is>
      </c>
      <c r="E37" s="252">
        <f>A37-$B$10</f>
        <v>-92</v>
      </c>
      <c r="F37" s="253" t="inlineStr">
        <is>
          <t xml:space="preserve">A verificar</t>
        </is>
      </c>
    </row>
    <row r="38">
      <c r="A38" s="254">
        <v>46203</v>
      </c>
      <c r="B38" s="255" t="inlineStr">
        <is>
          <t xml:space="preserve">Martes</t>
        </is>
      </c>
      <c r="C38" s="256" t="inlineStr">
        <is>
          <t xml:space="preserve">Aguinaldo: fecha límite de pago (1ª cuota)</t>
        </is>
      </c>
      <c r="D38" s="255" t="inlineStr">
        <is>
          <t xml:space="preserve">Efeméride · Ingresos</t>
        </is>
      </c>
      <c r="E38" s="257">
        <f>A38-$B$10</f>
        <v>-89</v>
      </c>
      <c r="F38" s="255" t="inlineStr">
        <is>
          <t xml:space="preserve">Sí (por ley)</t>
        </is>
      </c>
    </row>
    <row r="39">
      <c r="A39" s="231">
        <v>46212</v>
      </c>
      <c r="B39" s="232" t="inlineStr">
        <is>
          <t xml:space="preserve">Jueves</t>
        </is>
      </c>
      <c r="C39" s="233" t="inlineStr">
        <is>
          <t xml:space="preserve">Día de la Independencia</t>
        </is>
      </c>
      <c r="D39" s="232" t="inlineStr">
        <is>
          <t xml:space="preserve">Feriado</t>
        </is>
      </c>
      <c r="E39" s="234">
        <f>A39-$B$10</f>
        <v>-80</v>
      </c>
      <c r="F39" s="235" t="inlineStr">
        <is>
          <t xml:space="preserve">A verificar</t>
        </is>
      </c>
    </row>
    <row r="40">
      <c r="A40" s="231">
        <v>46213</v>
      </c>
      <c r="B40" s="232" t="inlineStr">
        <is>
          <t xml:space="preserve">Viernes</t>
        </is>
      </c>
      <c r="C40" s="233" t="inlineStr">
        <is>
          <t xml:space="preserve">Día no laborable con fines turísticos</t>
        </is>
      </c>
      <c r="D40" s="232" t="inlineStr">
        <is>
          <t xml:space="preserve">Puente</t>
        </is>
      </c>
      <c r="E40" s="234">
        <f>A40-$B$10</f>
        <v>-79</v>
      </c>
      <c r="F40" s="235" t="inlineStr">
        <is>
          <t xml:space="preserve">A verificar</t>
        </is>
      </c>
    </row>
    <row r="41">
      <c r="A41" s="249">
        <v>46222</v>
      </c>
      <c r="B41" s="250" t="inlineStr">
        <is>
          <t xml:space="preserve">Domingo</t>
        </is>
      </c>
      <c r="C41" s="251" t="inlineStr">
        <is>
          <t xml:space="preserve">Final del Mundial 2026</t>
        </is>
      </c>
      <c r="D41" s="250" t="inlineStr">
        <is>
          <t xml:space="preserve">Efeméride · Deportivo</t>
        </is>
      </c>
      <c r="E41" s="252">
        <f>A41-$B$10</f>
        <v>-70</v>
      </c>
      <c r="F41" s="253" t="inlineStr">
        <is>
          <t xml:space="preserve">A verificar</t>
        </is>
      </c>
    </row>
    <row r="42">
      <c r="A42" s="240">
        <v>46223</v>
      </c>
      <c r="B42" s="241" t="inlineStr">
        <is>
          <t xml:space="preserve">Lunes</t>
        </is>
      </c>
      <c r="C42" s="242" t="inlineStr">
        <is>
          <t xml:space="preserve">Inicio receso invernal escolar (Prov. de Buenos Aires)</t>
        </is>
      </c>
      <c r="D42" s="241" t="inlineStr">
        <is>
          <t xml:space="preserve">Efeméride · Escolar</t>
        </is>
      </c>
      <c r="E42" s="243">
        <f>A42-$B$10</f>
        <v>-69</v>
      </c>
      <c r="F42" s="244" t="inlineStr">
        <is>
          <t xml:space="preserve">A verificar</t>
        </is>
      </c>
    </row>
    <row r="43">
      <c r="A43" s="236">
        <v>46223</v>
      </c>
      <c r="B43" s="237" t="inlineStr">
        <is>
          <t xml:space="preserve">Lunes</t>
        </is>
      </c>
      <c r="C43" s="238" t="inlineStr">
        <is>
          <t xml:space="preserve">Día del Amigo</t>
        </is>
      </c>
      <c r="D43" s="237" t="inlineStr">
        <is>
          <t xml:space="preserve">Efeméride · Comercial</t>
        </is>
      </c>
      <c r="E43" s="239">
        <f>A43-$B$10</f>
        <v>-69</v>
      </c>
      <c r="F43" s="237" t="inlineStr">
        <is>
          <t xml:space="preserve">Sí (fecha fija)</t>
        </is>
      </c>
    </row>
    <row r="44">
      <c r="A44" s="240">
        <v>46234</v>
      </c>
      <c r="B44" s="241" t="inlineStr">
        <is>
          <t xml:space="preserve">Viernes</t>
        </is>
      </c>
      <c r="C44" s="242" t="inlineStr">
        <is>
          <t xml:space="preserve">Fin receso invernal escolar (Prov. de Buenos Aires)</t>
        </is>
      </c>
      <c r="D44" s="241" t="inlineStr">
        <is>
          <t xml:space="preserve">Efeméride · Escolar</t>
        </is>
      </c>
      <c r="E44" s="243">
        <f>A44-$B$10</f>
        <v>-58</v>
      </c>
      <c r="F44" s="244" t="inlineStr">
        <is>
          <t xml:space="preserve">A verificar</t>
        </is>
      </c>
    </row>
    <row r="45">
      <c r="A45" s="245">
        <v>46250</v>
      </c>
      <c r="B45" s="246" t="inlineStr">
        <is>
          <t xml:space="preserve">Domingo</t>
        </is>
      </c>
      <c r="C45" s="247" t="inlineStr">
        <is>
          <t xml:space="preserve">Día del Niño</t>
        </is>
      </c>
      <c r="D45" s="246" t="inlineStr">
        <is>
          <t xml:space="preserve">Efeméride · Familiar</t>
        </is>
      </c>
      <c r="E45" s="248">
        <f>A45-$B$10</f>
        <v>-42</v>
      </c>
      <c r="F45" s="246" t="inlineStr">
        <is>
          <t xml:space="preserve">Sí (3er domingo de agosto)</t>
        </is>
      </c>
    </row>
    <row r="46">
      <c r="A46" s="231">
        <v>46251</v>
      </c>
      <c r="B46" s="232" t="inlineStr">
        <is>
          <t xml:space="preserve">Lunes</t>
        </is>
      </c>
      <c r="C46" s="233" t="inlineStr">
        <is>
          <t xml:space="preserve">Paso a la Inmortalidad de San Martín</t>
        </is>
      </c>
      <c r="D46" s="232" t="inlineStr">
        <is>
          <t xml:space="preserve">Feriado</t>
        </is>
      </c>
      <c r="E46" s="234">
        <f>A46-$B$10</f>
        <v>-41</v>
      </c>
      <c r="F46" s="235" t="inlineStr">
        <is>
          <t xml:space="preserve">A verificar</t>
        </is>
      </c>
    </row>
    <row r="47">
      <c r="A47" s="240">
        <v>46276</v>
      </c>
      <c r="B47" s="241" t="inlineStr">
        <is>
          <t xml:space="preserve">Viernes</t>
        </is>
      </c>
      <c r="C47" s="242" t="inlineStr">
        <is>
          <t xml:space="preserve">Día del Maestro (sin clases)</t>
        </is>
      </c>
      <c r="D47" s="241" t="inlineStr">
        <is>
          <t xml:space="preserve">Efeméride · Escolar</t>
        </is>
      </c>
      <c r="E47" s="243">
        <f>A47-$B$10</f>
        <v>-16</v>
      </c>
      <c r="F47" s="244" t="inlineStr">
        <is>
          <t xml:space="preserve">A verificar</t>
        </is>
      </c>
    </row>
    <row r="48">
      <c r="A48" s="240">
        <v>46286</v>
      </c>
      <c r="B48" s="241" t="inlineStr">
        <is>
          <t xml:space="preserve">Lunes</t>
        </is>
      </c>
      <c r="C48" s="242" t="inlineStr">
        <is>
          <t xml:space="preserve">Día de la Primavera y del Estudiante (sin clases)</t>
        </is>
      </c>
      <c r="D48" s="241" t="inlineStr">
        <is>
          <t xml:space="preserve">Efeméride · Escolar</t>
        </is>
      </c>
      <c r="E48" s="243">
        <f>A48-$B$10</f>
        <v>-6</v>
      </c>
      <c r="F48" s="241" t="inlineStr">
        <is>
          <t xml:space="preserve">Sí (fecha fija)</t>
        </is>
      </c>
    </row>
    <row r="49">
      <c r="A49" s="258">
        <v>46307</v>
      </c>
      <c r="B49" s="259" t="inlineStr">
        <is>
          <t xml:space="preserve">Lunes</t>
        </is>
      </c>
      <c r="C49" s="260" t="inlineStr">
        <is>
          <t xml:space="preserve">Día del Respeto a la Diversidad Cultural   ← próximo feriado</t>
        </is>
      </c>
      <c r="D49" s="259" t="inlineStr">
        <is>
          <t xml:space="preserve">Feriado</t>
        </is>
      </c>
      <c r="E49" s="261">
        <f>A49-$B$10</f>
        <v>15</v>
      </c>
      <c r="F49" s="262" t="inlineStr">
        <is>
          <t xml:space="preserve">A verificar</t>
        </is>
      </c>
    </row>
    <row r="50">
      <c r="A50" s="263">
        <v>46313</v>
      </c>
      <c r="B50" s="264" t="inlineStr">
        <is>
          <t xml:space="preserve">Domingo</t>
        </is>
      </c>
      <c r="C50" s="265" t="inlineStr">
        <is>
          <t xml:space="preserve">Día de la Madre</t>
        </is>
      </c>
      <c r="D50" s="264" t="inlineStr">
        <is>
          <t xml:space="preserve">Efeméride · Familiar</t>
        </is>
      </c>
      <c r="E50" s="266">
        <f>A50-$B$10</f>
        <v>21</v>
      </c>
      <c r="F50" s="264" t="inlineStr">
        <is>
          <t xml:space="preserve">Sí (3er domingo de octubre)</t>
        </is>
      </c>
    </row>
    <row r="51">
      <c r="A51" s="267">
        <v>46326</v>
      </c>
      <c r="B51" s="133" t="inlineStr">
        <is>
          <t xml:space="preserve">Sábado</t>
        </is>
      </c>
      <c r="C51" s="157" t="inlineStr">
        <is>
          <t xml:space="preserve">Halloween</t>
        </is>
      </c>
      <c r="D51" s="133" t="inlineStr">
        <is>
          <t xml:space="preserve">Efeméride · Comercial</t>
        </is>
      </c>
      <c r="E51" s="268">
        <f>A51-$B$10</f>
        <v>34</v>
      </c>
      <c r="F51" s="133" t="inlineStr">
        <is>
          <t xml:space="preserve">Sí (fecha fija)</t>
        </is>
      </c>
    </row>
    <row r="52">
      <c r="A52" s="269">
        <v>46334</v>
      </c>
      <c r="B52" s="270" t="inlineStr">
        <is>
          <t xml:space="preserve">Domingo</t>
        </is>
      </c>
      <c r="C52" s="271" t="inlineStr">
        <is>
          <t xml:space="preserve">Llega el Papa León XIV a la Argentina (Ezeiza y Casa Rosada) - no es feriado</t>
        </is>
      </c>
      <c r="D52" s="270" t="inlineStr">
        <is>
          <t xml:space="preserve">Efeméride · Evento</t>
        </is>
      </c>
      <c r="E52" s="272">
        <f>A52-$B$10</f>
        <v>42</v>
      </c>
      <c r="F52" s="270" t="inlineStr">
        <is>
          <t xml:space="preserve">Sí (DNU 1103/2026)</t>
        </is>
      </c>
    </row>
    <row r="53">
      <c r="A53" s="273">
        <v>46335</v>
      </c>
      <c r="B53" s="274" t="inlineStr">
        <is>
          <t xml:space="preserve">Lunes</t>
        </is>
      </c>
      <c r="C53" s="275" t="inlineStr">
        <is>
          <t xml:space="preserve">Feriado nacional por la visita del Papa León XIV (DNU 1103/2026)</t>
        </is>
      </c>
      <c r="D53" s="274" t="inlineStr">
        <is>
          <t xml:space="preserve">Feriado</t>
        </is>
      </c>
      <c r="E53" s="276">
        <f>A53-$B$10</f>
        <v>43</v>
      </c>
      <c r="F53" s="274" t="inlineStr">
        <is>
          <t xml:space="preserve">Sí (DNU 1103/2026)</t>
        </is>
      </c>
    </row>
    <row r="54">
      <c r="A54" s="269">
        <v>46336</v>
      </c>
      <c r="B54" s="270" t="inlineStr">
        <is>
          <t xml:space="preserve">Martes</t>
        </is>
      </c>
      <c r="C54" s="271" t="inlineStr">
        <is>
          <t xml:space="preserve">Visita del Papa: feriado solo en CABA y Córdoba (no rige en Lanús ni Lomas de Zamora)</t>
        </is>
      </c>
      <c r="D54" s="270" t="inlineStr">
        <is>
          <t xml:space="preserve">Efeméride · Evento</t>
        </is>
      </c>
      <c r="E54" s="272">
        <f>A54-$B$10</f>
        <v>44</v>
      </c>
      <c r="F54" s="270" t="inlineStr">
        <is>
          <t xml:space="preserve">Sí (DNU 1103/2026)</t>
        </is>
      </c>
    </row>
    <row r="55">
      <c r="A55" s="273">
        <v>46337</v>
      </c>
      <c r="B55" s="274" t="inlineStr">
        <is>
          <t xml:space="preserve">Miércoles</t>
        </is>
      </c>
      <c r="C55" s="275" t="inlineStr">
        <is>
          <t xml:space="preserve">Feriado en la Provincia de Buenos Aires por la visita del Papa León XIV: misa en Luján (DNU 1103/2026)</t>
        </is>
      </c>
      <c r="D55" s="274" t="inlineStr">
        <is>
          <t xml:space="preserve">Feriado provincial (Prov. de Bs. As.)</t>
        </is>
      </c>
      <c r="E55" s="276">
        <f>A55-$B$10</f>
        <v>45</v>
      </c>
      <c r="F55" s="274" t="inlineStr">
        <is>
          <t xml:space="preserve">Sí (DNU 1103/2026)</t>
        </is>
      </c>
    </row>
    <row r="56">
      <c r="A56" s="273">
        <v>46349</v>
      </c>
      <c r="B56" s="274" t="inlineStr">
        <is>
          <t xml:space="preserve">Lunes</t>
        </is>
      </c>
      <c r="C56" s="275" t="inlineStr">
        <is>
          <t xml:space="preserve">Día de la Soberanía Nacional (trasladado)</t>
        </is>
      </c>
      <c r="D56" s="274" t="inlineStr">
        <is>
          <t xml:space="preserve">Feriado</t>
        </is>
      </c>
      <c r="E56" s="276">
        <f>A56-$B$10</f>
        <v>57</v>
      </c>
      <c r="F56" s="277" t="inlineStr">
        <is>
          <t xml:space="preserve">A verificar</t>
        </is>
      </c>
    </row>
    <row r="57">
      <c r="A57" s="273">
        <v>46363</v>
      </c>
      <c r="B57" s="274" t="inlineStr">
        <is>
          <t xml:space="preserve">Lunes</t>
        </is>
      </c>
      <c r="C57" s="275" t="inlineStr">
        <is>
          <t xml:space="preserve">Día no laborable con fines turísticos</t>
        </is>
      </c>
      <c r="D57" s="274" t="inlineStr">
        <is>
          <t xml:space="preserve">Puente</t>
        </is>
      </c>
      <c r="E57" s="276">
        <f>A57-$B$10</f>
        <v>71</v>
      </c>
      <c r="F57" s="277" t="inlineStr">
        <is>
          <t xml:space="preserve">A verificar</t>
        </is>
      </c>
    </row>
    <row r="58">
      <c r="A58" s="273">
        <v>46364</v>
      </c>
      <c r="B58" s="274" t="inlineStr">
        <is>
          <t xml:space="preserve">Martes</t>
        </is>
      </c>
      <c r="C58" s="275" t="inlineStr">
        <is>
          <t xml:space="preserve">Inmaculada Concepción</t>
        </is>
      </c>
      <c r="D58" s="274" t="inlineStr">
        <is>
          <t xml:space="preserve">Feriado</t>
        </is>
      </c>
      <c r="E58" s="276">
        <f>A58-$B$10</f>
        <v>72</v>
      </c>
      <c r="F58" s="277" t="inlineStr">
        <is>
          <t xml:space="preserve">A verificar</t>
        </is>
      </c>
    </row>
    <row r="59">
      <c r="A59" s="278">
        <v>46374</v>
      </c>
      <c r="B59" s="279" t="inlineStr">
        <is>
          <t xml:space="preserve">Viernes</t>
        </is>
      </c>
      <c r="C59" s="280" t="inlineStr">
        <is>
          <t xml:space="preserve">Fin de clases (Prov. de Buenos Aires, aprox.)</t>
        </is>
      </c>
      <c r="D59" s="279" t="inlineStr">
        <is>
          <t xml:space="preserve">Efeméride · Escolar</t>
        </is>
      </c>
      <c r="E59" s="281">
        <f>A59-$B$10</f>
        <v>82</v>
      </c>
      <c r="F59" s="282" t="inlineStr">
        <is>
          <t xml:space="preserve">A verificar</t>
        </is>
      </c>
    </row>
    <row r="60">
      <c r="A60" s="283">
        <v>46374</v>
      </c>
      <c r="B60" s="284" t="inlineStr">
        <is>
          <t xml:space="preserve">Viernes</t>
        </is>
      </c>
      <c r="C60" s="285" t="inlineStr">
        <is>
          <t xml:space="preserve">Aguinaldo: fecha límite de pago (2ª cuota)</t>
        </is>
      </c>
      <c r="D60" s="284" t="inlineStr">
        <is>
          <t xml:space="preserve">Efeméride · Ingresos</t>
        </is>
      </c>
      <c r="E60" s="286">
        <f>A60-$B$10</f>
        <v>82</v>
      </c>
      <c r="F60" s="284" t="inlineStr">
        <is>
          <t xml:space="preserve">Sí (por ley)</t>
        </is>
      </c>
    </row>
    <row r="61">
      <c r="A61" s="263">
        <v>46380</v>
      </c>
      <c r="B61" s="264" t="inlineStr">
        <is>
          <t xml:space="preserve">Jueves</t>
        </is>
      </c>
      <c r="C61" s="265" t="inlineStr">
        <is>
          <t xml:space="preserve">Nochebuena</t>
        </is>
      </c>
      <c r="D61" s="264" t="inlineStr">
        <is>
          <t xml:space="preserve">Efeméride · Familiar</t>
        </is>
      </c>
      <c r="E61" s="266">
        <f>A61-$B$10</f>
        <v>88</v>
      </c>
      <c r="F61" s="264" t="inlineStr">
        <is>
          <t xml:space="preserve">Sí (fecha fija)</t>
        </is>
      </c>
    </row>
    <row r="62">
      <c r="A62" s="273">
        <v>46381</v>
      </c>
      <c r="B62" s="274" t="inlineStr">
        <is>
          <t xml:space="preserve">Viernes</t>
        </is>
      </c>
      <c r="C62" s="275" t="inlineStr">
        <is>
          <t xml:space="preserve">Navidad</t>
        </is>
      </c>
      <c r="D62" s="274" t="inlineStr">
        <is>
          <t xml:space="preserve">Feriado</t>
        </is>
      </c>
      <c r="E62" s="276">
        <f>A62-$B$10</f>
        <v>89</v>
      </c>
      <c r="F62" s="277" t="inlineStr">
        <is>
          <t xml:space="preserve">A verificar</t>
        </is>
      </c>
    </row>
    <row r="63">
      <c r="A63" s="263">
        <v>46387</v>
      </c>
      <c r="B63" s="264" t="inlineStr">
        <is>
          <t xml:space="preserve">Jueves</t>
        </is>
      </c>
      <c r="C63" s="265" t="inlineStr">
        <is>
          <t xml:space="preserve">Fin de año</t>
        </is>
      </c>
      <c r="D63" s="264" t="inlineStr">
        <is>
          <t xml:space="preserve">Efeméride · Familiar</t>
        </is>
      </c>
      <c r="E63" s="266">
        <f>A63-$B$10</f>
        <v>95</v>
      </c>
      <c r="F63" s="264" t="inlineStr">
        <is>
          <t xml:space="preserve">Sí (fecha fija)</t>
        </is>
      </c>
    </row>
    <row r="64">
      <c r="A64" s="273">
        <v>46388</v>
      </c>
      <c r="B64" s="274" t="inlineStr">
        <is>
          <t xml:space="preserve">Viernes</t>
        </is>
      </c>
      <c r="C64" s="275" t="inlineStr">
        <is>
          <t xml:space="preserve">Año Nuevo</t>
        </is>
      </c>
      <c r="D64" s="274" t="inlineStr">
        <is>
          <t xml:space="preserve">Feriado</t>
        </is>
      </c>
      <c r="E64" s="276">
        <f>A64-$B$10</f>
        <v>96</v>
      </c>
      <c r="F64" s="274" t="inlineStr">
        <is>
          <t xml:space="preserve">Sí (calendario 2027 publicado)</t>
        </is>
      </c>
    </row>
    <row r="65">
      <c r="A65" s="273">
        <v>46426</v>
      </c>
      <c r="B65" s="274" t="inlineStr">
        <is>
          <t xml:space="preserve">Lunes</t>
        </is>
      </c>
      <c r="C65" s="275" t="inlineStr">
        <is>
          <t xml:space="preserve">Carnaval</t>
        </is>
      </c>
      <c r="D65" s="274" t="inlineStr">
        <is>
          <t xml:space="preserve">Feriado</t>
        </is>
      </c>
      <c r="E65" s="276">
        <f>A65-$B$10</f>
        <v>134</v>
      </c>
      <c r="F65" s="274" t="inlineStr">
        <is>
          <t xml:space="preserve">Sí (calendario 2027 publicado)</t>
        </is>
      </c>
    </row>
    <row r="66">
      <c r="A66" s="273">
        <v>46427</v>
      </c>
      <c r="B66" s="274" t="inlineStr">
        <is>
          <t xml:space="preserve">Martes</t>
        </is>
      </c>
      <c r="C66" s="275" t="inlineStr">
        <is>
          <t xml:space="preserve">Carnaval</t>
        </is>
      </c>
      <c r="D66" s="274" t="inlineStr">
        <is>
          <t xml:space="preserve">Feriado</t>
        </is>
      </c>
      <c r="E66" s="276">
        <f>A66-$B$10</f>
        <v>135</v>
      </c>
      <c r="F66" s="274" t="inlineStr">
        <is>
          <t xml:space="preserve">Sí (calendario 2027 publicado)</t>
        </is>
      </c>
    </row>
    <row r="67">
      <c r="A67" s="267">
        <v>46432</v>
      </c>
      <c r="B67" s="133" t="inlineStr">
        <is>
          <t xml:space="preserve">Domingo</t>
        </is>
      </c>
      <c r="C67" s="157" t="inlineStr">
        <is>
          <t xml:space="preserve">San Valentín</t>
        </is>
      </c>
      <c r="D67" s="133" t="inlineStr">
        <is>
          <t xml:space="preserve">Efeméride · Comercial</t>
        </is>
      </c>
      <c r="E67" s="268">
        <f>A67-$B$10</f>
        <v>140</v>
      </c>
      <c r="F67" s="133" t="inlineStr">
        <is>
          <t xml:space="preserve">Sí (fecha fija)</t>
        </is>
      </c>
    </row>
    <row r="68">
      <c r="A68" s="278">
        <v>46447</v>
      </c>
      <c r="B68" s="279" t="inlineStr">
        <is>
          <t xml:space="preserve">Lunes</t>
        </is>
      </c>
      <c r="C68" s="280" t="inlineStr">
        <is>
          <t xml:space="preserve">Inicio de clases (Prov. de Buenos Aires, aprox.)</t>
        </is>
      </c>
      <c r="D68" s="279" t="inlineStr">
        <is>
          <t xml:space="preserve">Efeméride · Escolar</t>
        </is>
      </c>
      <c r="E68" s="281">
        <f>A68-$B$10</f>
        <v>155</v>
      </c>
      <c r="F68" s="282" t="inlineStr">
        <is>
          <t xml:space="preserve">A verificar</t>
        </is>
      </c>
    </row>
    <row r="69">
      <c r="A69" s="273">
        <v>46470</v>
      </c>
      <c r="B69" s="274" t="inlineStr">
        <is>
          <t xml:space="preserve">Miércoles</t>
        </is>
      </c>
      <c r="C69" s="275" t="inlineStr">
        <is>
          <t xml:space="preserve">Día de la Memoria</t>
        </is>
      </c>
      <c r="D69" s="274" t="inlineStr">
        <is>
          <t xml:space="preserve">Feriado</t>
        </is>
      </c>
      <c r="E69" s="276">
        <f>A69-$B$10</f>
        <v>178</v>
      </c>
      <c r="F69" s="274" t="inlineStr">
        <is>
          <t xml:space="preserve">Sí (calendario 2027 publicado)</t>
        </is>
      </c>
    </row>
    <row r="70">
      <c r="A70" s="273">
        <v>46471</v>
      </c>
      <c r="B70" s="274" t="inlineStr">
        <is>
          <t xml:space="preserve">Jueves</t>
        </is>
      </c>
      <c r="C70" s="275" t="inlineStr">
        <is>
          <t xml:space="preserve">Jueves Santo</t>
        </is>
      </c>
      <c r="D70" s="274" t="inlineStr">
        <is>
          <t xml:space="preserve">No laborable</t>
        </is>
      </c>
      <c r="E70" s="276">
        <f>A70-$B$10</f>
        <v>179</v>
      </c>
      <c r="F70" s="277" t="inlineStr">
        <is>
          <t xml:space="preserve">A verificar</t>
        </is>
      </c>
    </row>
    <row r="71">
      <c r="A71" s="273">
        <v>46472</v>
      </c>
      <c r="B71" s="274" t="inlineStr">
        <is>
          <t xml:space="preserve">Viernes</t>
        </is>
      </c>
      <c r="C71" s="275" t="inlineStr">
        <is>
          <t xml:space="preserve">Viernes Santo</t>
        </is>
      </c>
      <c r="D71" s="274" t="inlineStr">
        <is>
          <t xml:space="preserve">Feriado</t>
        </is>
      </c>
      <c r="E71" s="276">
        <f>A71-$B$10</f>
        <v>180</v>
      </c>
      <c r="F71" s="274" t="inlineStr">
        <is>
          <t xml:space="preserve">Sí (calendario 2027 publicado)</t>
        </is>
      </c>
    </row>
    <row r="72">
      <c r="A72" s="263">
        <v>46474</v>
      </c>
      <c r="B72" s="264" t="inlineStr">
        <is>
          <t xml:space="preserve">Domingo</t>
        </is>
      </c>
      <c r="C72" s="265" t="inlineStr">
        <is>
          <t xml:space="preserve">Pascua (Domingo de Resurrección)</t>
        </is>
      </c>
      <c r="D72" s="264" t="inlineStr">
        <is>
          <t xml:space="preserve">Efeméride · Familiar</t>
        </is>
      </c>
      <c r="E72" s="266">
        <f>A72-$B$10</f>
        <v>182</v>
      </c>
      <c r="F72" s="264" t="inlineStr">
        <is>
          <t xml:space="preserve">Sí (calculada)</t>
        </is>
      </c>
    </row>
    <row r="73">
      <c r="A73" s="273">
        <v>46479</v>
      </c>
      <c r="B73" s="274" t="inlineStr">
        <is>
          <t xml:space="preserve">Viernes</t>
        </is>
      </c>
      <c r="C73" s="275" t="inlineStr">
        <is>
          <t xml:space="preserve">Malvinas</t>
        </is>
      </c>
      <c r="D73" s="274" t="inlineStr">
        <is>
          <t xml:space="preserve">Feriado</t>
        </is>
      </c>
      <c r="E73" s="276">
        <f>A73-$B$10</f>
        <v>187</v>
      </c>
      <c r="F73" s="274" t="inlineStr">
        <is>
          <t xml:space="preserve">Sí (calendario 2027 publicado)</t>
        </is>
      </c>
    </row>
    <row r="74">
      <c r="A74" s="273">
        <v>46508</v>
      </c>
      <c r="B74" s="274" t="inlineStr">
        <is>
          <t xml:space="preserve">Sábado</t>
        </is>
      </c>
      <c r="C74" s="275" t="inlineStr">
        <is>
          <t xml:space="preserve">Día del Trabajador</t>
        </is>
      </c>
      <c r="D74" s="274" t="inlineStr">
        <is>
          <t xml:space="preserve">Feriado</t>
        </is>
      </c>
      <c r="E74" s="276">
        <f>A74-$B$10</f>
        <v>216</v>
      </c>
      <c r="F74" s="274" t="inlineStr">
        <is>
          <t xml:space="preserve">Sí (calendario 2027 publicado)</t>
        </is>
      </c>
    </row>
    <row r="76" ht="52" customHeight="1">
      <c r="A76" s="143" t="inlineStr">
        <is>
          <t xml:space="preserve">Feriados nacionales (los trasladables, en el día en que se gozan), días no laborables y puentes; y fechas que pueden mover la venta: calendario escolar de la Provincia de Buenos Aires (Lanús y Lomas de Zamora), fechas familiares y comerciales, cobro de aguinaldo, partidos y elecciones. «A verificar» = cargado de memoria o aproximado: confirmar con el calendario oficial (DGCyE para lo escolar). Se editan en reportes\calendario\feriados.csv y efemerides.csv. Incluye los feriados provinciales de la Provincia de Buenos Aires que se cargaron (ej. visita del Papa); no incluye feriados municipales.</t>
        </is>
      </c>
      <c r="B76" s="143"/>
      <c r="C76" s="143"/>
      <c r="D76" s="143"/>
      <c r="E76" s="143"/>
      <c r="F76" s="143"/>
    </row>
  </sheetData>
  <autoFilter ref="A18:F74"/>
  <mergeCells count="7">
    <mergeCell ref="A1:F1"/>
    <mergeCell ref="A2:F2"/>
    <mergeCell ref="A4:E6"/>
    <mergeCell ref="A7:E7"/>
    <mergeCell ref="A9:E9"/>
    <mergeCell ref="A17:F17"/>
    <mergeCell ref="A76:F76"/>
  </mergeCells>
  <pageMargins left="0.4" right="0.4" top="0.5" bottom="0.5" header="0.3" footer="0.3"/>
  <pageSetup paperSize="9"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2026-09-28T16:00:06Z</dcterms:created>
  <dcterms:modified xsi:type="dcterms:W3CDTF">2026-09-28T16:00:06Z</dcterms:modified>
</cp:coreProperties>
</file>